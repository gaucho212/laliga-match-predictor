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049bcf4c2a26b74/Desktop/Data_Analist/laliga-match-predictor/"/>
    </mc:Choice>
  </mc:AlternateContent>
  <xr:revisionPtr revIDLastSave="2" documentId="11_C269C8C5774A63EFDB3CFB734C0B6BFF9B72ADBE" xr6:coauthVersionLast="47" xr6:coauthVersionMax="47" xr10:uidLastSave="{608AD64F-3EAD-4DEC-8450-5D7F6BB5BE22}"/>
  <bookViews>
    <workbookView xWindow="-28920" yWindow="-120" windowWidth="29040" windowHeight="15720" activeTab="1" xr2:uid="{00000000-000D-0000-FFFF-FFFF00000000}"/>
  </bookViews>
  <sheets>
    <sheet name="Game_Predictions_Gameweek" sheetId="1" r:id="rId1"/>
    <sheet name="Value_Engine" sheetId="2" r:id="rId2"/>
    <sheet name="Model_KPIs_Monitoring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C27" i="3"/>
  <c r="I26" i="3"/>
  <c r="I25" i="3"/>
  <c r="I24" i="3"/>
  <c r="I23" i="3"/>
  <c r="I22" i="3"/>
  <c r="I21" i="3"/>
  <c r="I20" i="3"/>
  <c r="I27" i="3" s="1"/>
  <c r="L16" i="3"/>
  <c r="K16" i="3"/>
  <c r="J16" i="3"/>
  <c r="F14" i="3"/>
  <c r="F16" i="3" s="1"/>
  <c r="E14" i="3"/>
  <c r="E15" i="3" s="1"/>
  <c r="D14" i="3"/>
  <c r="D15" i="3" s="1"/>
  <c r="C14" i="3"/>
  <c r="C15" i="3" s="1"/>
  <c r="F15" i="3" s="1"/>
  <c r="F13" i="3"/>
  <c r="E16" i="3" s="1"/>
  <c r="F12" i="3"/>
  <c r="D16" i="3" s="1"/>
  <c r="F11" i="3"/>
  <c r="C16" i="3" s="1"/>
  <c r="H22" i="2"/>
  <c r="F22" i="2"/>
  <c r="E22" i="2"/>
  <c r="G22" i="2" s="1"/>
  <c r="D22" i="2"/>
  <c r="B22" i="2"/>
  <c r="A22" i="2"/>
  <c r="H21" i="2"/>
  <c r="F21" i="2"/>
  <c r="E21" i="2"/>
  <c r="D21" i="2"/>
  <c r="D23" i="2" s="1"/>
  <c r="B21" i="2"/>
  <c r="A21" i="2"/>
  <c r="E20" i="2"/>
  <c r="D20" i="2"/>
  <c r="B20" i="2"/>
  <c r="A20" i="2"/>
  <c r="E19" i="2"/>
  <c r="D19" i="2"/>
  <c r="B19" i="2"/>
  <c r="A19" i="2"/>
  <c r="E18" i="2"/>
  <c r="G18" i="2" s="1"/>
  <c r="D18" i="2"/>
  <c r="B18" i="2"/>
  <c r="A18" i="2"/>
  <c r="H17" i="2"/>
  <c r="F17" i="2"/>
  <c r="E17" i="2"/>
  <c r="G17" i="2" s="1"/>
  <c r="D17" i="2"/>
  <c r="B17" i="2"/>
  <c r="A17" i="2"/>
  <c r="H16" i="2"/>
  <c r="F16" i="2"/>
  <c r="E16" i="2"/>
  <c r="G16" i="2" s="1"/>
  <c r="D16" i="2"/>
  <c r="B16" i="2"/>
  <c r="A16" i="2"/>
  <c r="E15" i="2"/>
  <c r="D15" i="2"/>
  <c r="B15" i="2"/>
  <c r="A15" i="2"/>
  <c r="E14" i="2"/>
  <c r="G14" i="2" s="1"/>
  <c r="D14" i="2"/>
  <c r="B14" i="2"/>
  <c r="A14" i="2"/>
  <c r="E13" i="2"/>
  <c r="G13" i="2" s="1"/>
  <c r="D13" i="2"/>
  <c r="B13" i="2"/>
  <c r="A13" i="2"/>
  <c r="L9" i="2"/>
  <c r="L5" i="2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T19" i="1"/>
  <c r="T20" i="1" s="1"/>
  <c r="S19" i="1"/>
  <c r="R19" i="1"/>
  <c r="U19" i="1" s="1"/>
  <c r="Q19" i="1"/>
  <c r="P19" i="1"/>
  <c r="O19" i="1"/>
  <c r="T18" i="1"/>
  <c r="S18" i="1"/>
  <c r="R18" i="1"/>
  <c r="U18" i="1" s="1"/>
  <c r="Q18" i="1"/>
  <c r="P18" i="1"/>
  <c r="O18" i="1"/>
  <c r="T17" i="1"/>
  <c r="S17" i="1"/>
  <c r="R17" i="1"/>
  <c r="Q17" i="1"/>
  <c r="P17" i="1"/>
  <c r="O17" i="1"/>
  <c r="F20" i="2" s="1"/>
  <c r="T16" i="1"/>
  <c r="S16" i="1"/>
  <c r="R16" i="1"/>
  <c r="Q16" i="1"/>
  <c r="P16" i="1"/>
  <c r="O16" i="1"/>
  <c r="F19" i="2" s="1"/>
  <c r="T15" i="1"/>
  <c r="S15" i="1"/>
  <c r="R15" i="1"/>
  <c r="Q15" i="1"/>
  <c r="P15" i="1"/>
  <c r="O15" i="1"/>
  <c r="F18" i="2" s="1"/>
  <c r="U14" i="1"/>
  <c r="T14" i="1"/>
  <c r="S14" i="1"/>
  <c r="R14" i="1"/>
  <c r="Q14" i="1"/>
  <c r="P14" i="1"/>
  <c r="O14" i="1"/>
  <c r="T13" i="1"/>
  <c r="S13" i="1"/>
  <c r="R13" i="1"/>
  <c r="U13" i="1" s="1"/>
  <c r="Q13" i="1"/>
  <c r="P13" i="1"/>
  <c r="O13" i="1"/>
  <c r="T12" i="1"/>
  <c r="S12" i="1"/>
  <c r="R12" i="1"/>
  <c r="Q12" i="1"/>
  <c r="P12" i="1"/>
  <c r="O12" i="1"/>
  <c r="F15" i="2" s="1"/>
  <c r="T11" i="1"/>
  <c r="S11" i="1"/>
  <c r="R11" i="1"/>
  <c r="Q11" i="1"/>
  <c r="P11" i="1"/>
  <c r="O11" i="1"/>
  <c r="F14" i="2" s="1"/>
  <c r="T10" i="1"/>
  <c r="S10" i="1"/>
  <c r="R10" i="1"/>
  <c r="Q10" i="1"/>
  <c r="P10" i="1"/>
  <c r="O10" i="1"/>
  <c r="F13" i="2" s="1"/>
  <c r="G27" i="3" l="1"/>
  <c r="E27" i="3"/>
  <c r="I22" i="2"/>
  <c r="J22" i="2"/>
  <c r="L22" i="2"/>
  <c r="I21" i="2"/>
  <c r="J21" i="2"/>
  <c r="L21" i="2"/>
  <c r="E23" i="2"/>
  <c r="G21" i="2"/>
  <c r="L17" i="2"/>
  <c r="J17" i="2"/>
  <c r="I17" i="2"/>
  <c r="L16" i="2"/>
  <c r="I16" i="2"/>
  <c r="J16" i="2" s="1"/>
  <c r="H20" i="2"/>
  <c r="U17" i="1"/>
  <c r="U16" i="1"/>
  <c r="H19" i="2"/>
  <c r="U15" i="1"/>
  <c r="H18" i="2"/>
  <c r="H15" i="2"/>
  <c r="U12" i="1"/>
  <c r="H14" i="2"/>
  <c r="U11" i="1"/>
  <c r="U10" i="1"/>
  <c r="U20" i="1" s="1"/>
  <c r="H13" i="2"/>
  <c r="G20" i="2"/>
  <c r="G19" i="2"/>
  <c r="G15" i="2"/>
  <c r="G23" i="2" s="1"/>
  <c r="F23" i="2"/>
  <c r="K22" i="2" l="1"/>
  <c r="M22" i="2" s="1"/>
  <c r="N22" i="2"/>
  <c r="K21" i="2"/>
  <c r="M21" i="2" s="1"/>
  <c r="N21" i="2"/>
  <c r="K17" i="2"/>
  <c r="M17" i="2" s="1"/>
  <c r="N17" i="2"/>
  <c r="K16" i="2"/>
  <c r="M16" i="2" s="1"/>
  <c r="N16" i="2"/>
  <c r="I20" i="2"/>
  <c r="J20" i="2"/>
  <c r="L20" i="2"/>
  <c r="I19" i="2"/>
  <c r="J19" i="2" s="1"/>
  <c r="L19" i="2"/>
  <c r="I18" i="2"/>
  <c r="J18" i="2"/>
  <c r="L18" i="2"/>
  <c r="I15" i="2"/>
  <c r="J15" i="2"/>
  <c r="L15" i="2"/>
  <c r="I14" i="2"/>
  <c r="J14" i="2"/>
  <c r="L14" i="2"/>
  <c r="I13" i="2"/>
  <c r="J13" i="2"/>
  <c r="L13" i="2"/>
  <c r="H23" i="2"/>
  <c r="K20" i="2" l="1"/>
  <c r="M20" i="2" s="1"/>
  <c r="N20" i="2"/>
  <c r="K19" i="2"/>
  <c r="M19" i="2" s="1"/>
  <c r="N19" i="2"/>
  <c r="K18" i="2"/>
  <c r="M18" i="2" s="1"/>
  <c r="N18" i="2"/>
  <c r="K15" i="2"/>
  <c r="M15" i="2" s="1"/>
  <c r="N15" i="2"/>
  <c r="K14" i="2"/>
  <c r="M14" i="2" s="1"/>
  <c r="N14" i="2"/>
  <c r="K13" i="2"/>
  <c r="N13" i="2"/>
  <c r="N23" i="2" s="1"/>
  <c r="J23" i="2"/>
  <c r="I23" i="2"/>
  <c r="L23" i="2"/>
  <c r="M13" i="2" l="1"/>
  <c r="M23" i="2" s="1"/>
  <c r="H5" i="2" s="1"/>
  <c r="K23" i="2"/>
  <c r="F5" i="2" l="1"/>
  <c r="J5" i="2"/>
</calcChain>
</file>

<file path=xl/sharedStrings.xml><?xml version="1.0" encoding="utf-8"?>
<sst xmlns="http://schemas.openxmlformats.org/spreadsheetml/2006/main" count="257" uniqueCount="228">
  <si>
    <t>LA LIGA MATCHDAY INTELLIGENCE – GAMEWEEK PREDICTIONS &amp; DECISION DESK</t>
  </si>
  <si>
    <t>Silnik: Hybrid Ensemble (Poisson GLM 0.93 + LightGBM 0.07) | Zero Data-Leakage Protocol | Polityka: Home Win Only (EV &gt;= 5.0%)</t>
  </si>
  <si>
    <t>STATUS REŻIMU PRZEDMECZOWEGO</t>
  </si>
  <si>
    <t>EWALUACJA OOT 2025/2026</t>
  </si>
  <si>
    <t>REKOMENDOWANA POLITYKA</t>
  </si>
  <si>
    <t>ZARZĄDZANIE RYZYKIEM</t>
  </si>
  <si>
    <t>STRICT PRE-MATCH</t>
  </si>
  <si>
    <t>LOG LOSS: 0.9820</t>
  </si>
  <si>
    <t>HOME WIN ONLY (EV &gt;= 5%)</t>
  </si>
  <si>
    <t>QUARTER-KELLY (c = 0.25)</t>
  </si>
  <si>
    <t>Brak look-ahead bias (zamrożone dane)</t>
  </si>
  <si>
    <t>Przewaga nad Naive Prior (-6.43%)</t>
  </si>
  <si>
    <t>Backtest: +673 j. | ROI: +5.90%</t>
  </si>
  <si>
    <t>Ochrona przed drawdownem wariancyjnym</t>
  </si>
  <si>
    <t>INFORMACJE O MECZU</t>
  </si>
  <si>
    <t>CECHY PRZEDMECZOWE (ADVANCED FEATURES)</t>
  </si>
  <si>
    <t>PRAWDOPODOBIEŃSTWO MODELU</t>
  </si>
  <si>
    <t>KURSY RYNKOWE (PINNACLE/BET365)</t>
  </si>
  <si>
    <t>PRAWDOPODOBIEŃSTWO IMPLIKOWANE (BEZ MARŻY)</t>
  </si>
  <si>
    <t>WARTOŚĆ OCZEKIWANA (EXPECTED VALUE - EV)</t>
  </si>
  <si>
    <t>SYGNAŁ / DECYZJA</t>
  </si>
  <si>
    <t>ID Meczu</t>
  </si>
  <si>
    <t>Data</t>
  </si>
  <si>
    <t>Gospodarz</t>
  </si>
  <si>
    <t>Gość</t>
  </si>
  <si>
    <t>Kolejka</t>
  </si>
  <si>
    <t>Elo Diff</t>
  </si>
  <si>
    <t>Roll xG Diff 5m</t>
  </si>
  <si>
    <t>Rest Days Diff</t>
  </si>
  <si>
    <t>P(Home)</t>
  </si>
  <si>
    <t>P(Draw)</t>
  </si>
  <si>
    <t>P(Away)</t>
  </si>
  <si>
    <t>Kurs 1</t>
  </si>
  <si>
    <t>Kurs X</t>
  </si>
  <si>
    <t>Kurs 2</t>
  </si>
  <si>
    <t>Fair P(Home)</t>
  </si>
  <si>
    <t>Fair P(Draw)</t>
  </si>
  <si>
    <t>Fair P(Away)</t>
  </si>
  <si>
    <t>EV Home</t>
  </si>
  <si>
    <t>EV Draw</t>
  </si>
  <si>
    <t>EV Away</t>
  </si>
  <si>
    <t>Rekomendacja Decyzyjna</t>
  </si>
  <si>
    <t>GW38-01</t>
  </si>
  <si>
    <t>2026-05-24</t>
  </si>
  <si>
    <t>Real Madrid</t>
  </si>
  <si>
    <t>Real Betis</t>
  </si>
  <si>
    <t>GW38</t>
  </si>
  <si>
    <t>GW38-02</t>
  </si>
  <si>
    <t>Barcelona</t>
  </si>
  <si>
    <t>Athletic Bilbao</t>
  </si>
  <si>
    <t>GW38-03</t>
  </si>
  <si>
    <t>Atletico Madrid</t>
  </si>
  <si>
    <t>Real Sociedad</t>
  </si>
  <si>
    <t>GW38-04</t>
  </si>
  <si>
    <t>Villarreal</t>
  </si>
  <si>
    <t>Sevilla</t>
  </si>
  <si>
    <t>GW38-05</t>
  </si>
  <si>
    <t>Valencia</t>
  </si>
  <si>
    <t>Getafe</t>
  </si>
  <si>
    <t>GW38-06</t>
  </si>
  <si>
    <t>Celta Vigo</t>
  </si>
  <si>
    <t>Osasuna</t>
  </si>
  <si>
    <t>GW38-07</t>
  </si>
  <si>
    <t>Girona</t>
  </si>
  <si>
    <t>Mallorca</t>
  </si>
  <si>
    <t>GW38-08</t>
  </si>
  <si>
    <t>Rayo Vallecano</t>
  </si>
  <si>
    <t>Alaves</t>
  </si>
  <si>
    <t>GW38-09</t>
  </si>
  <si>
    <t>Espanyol</t>
  </si>
  <si>
    <t>Las Palmas</t>
  </si>
  <si>
    <t>GW38-10</t>
  </si>
  <si>
    <t>Real Valladolid</t>
  </si>
  <si>
    <t>Leganes</t>
  </si>
  <si>
    <t>ŚREDNIA / AGREGACJA KOLEJKI</t>
  </si>
  <si>
    <t>RYGOR METODOLOGICZNY I ARCHITEKTURA SYGNAŁU (TECHNICAL &amp; QUANT NOTES)</t>
  </si>
  <si>
    <t>1. Protokół Zero Data-Leakage: Metryki Elo_Diff, Roll_xG_Diff_5 oraz Rest_Days_Diff zostały obliczone w oparciu o stan bazy przed rozpoczęciem meczu. Wszelkie statystyki w trakcie meczu lub po gwizdku są rygorystycznie wykluczone.</t>
  </si>
  <si>
    <t>2. Wycena Szans i Overround: Kolumny O, P, Q reprezentują rynkowe prawdopodobieństwo implikowane oczyszczone z marży bukmachera metodą normalizacji addytywnej (usunięcie overroundu ok. 4.5% - 5.5%).</t>
  </si>
  <si>
    <t>3. Matematyka Expected Value (EV): EV jest liczone jako (P_model * Kurs) - 1. Reprezentuje matematyczną stopę zwrotu z pojedynczego zakładu przy założeniu nieskończonej liczby prób.</t>
  </si>
  <si>
    <t>4. Egzekucja Polityki Alpha (Home Only): Zgodnie z audytem backtestu 2025/2026 rynki remisów i wyjazdów podlegają systematycznemu zjawisku Favorite-Longshot Bias i podwyższonej wariancji. Model generuje sygnał egzekucyjny WYŁĄCZNIE dla typu Home Win z EV &gt;= 5.0%.</t>
  </si>
  <si>
    <t>LA LIGA VALUE ENGINE – CAPITAL ALLOCATION &amp; QUANTITATIVE RISK DESK</t>
  </si>
  <si>
    <t>Dynamiczne Zarządzanie Kapitałem | Frakcyjne Kryterium Kelly'ego (Quarter-Kelly) | Alokacja Portfela GW38</t>
  </si>
  <si>
    <t>PARAMETRY PORTFELA I REŻIM RYZYKA (USER INPUTS)</t>
  </si>
  <si>
    <t>ŁĄCZNA ALOKACJA KELLY</t>
  </si>
  <si>
    <t>OCZEKIWANY ZYSK GW38</t>
  </si>
  <si>
    <t>PORTFELOWY OCZEKIWANY ROI</t>
  </si>
  <si>
    <t>STATUS SELEKCJI ALPHA</t>
  </si>
  <si>
    <t>Bankroll Początkowy (Kapitał Portfela)</t>
  </si>
  <si>
    <t>Frakcja Kelly'ego (Mnożnik Ryzyka c)</t>
  </si>
  <si>
    <t>Minimalny Próg EV (Min Edge)</t>
  </si>
  <si>
    <t>Wartość oczekiwana E[PnL]</t>
  </si>
  <si>
    <t>Oczekiwany Yield kolejki</t>
  </si>
  <si>
    <t>Selekcja: Home Win &amp; EV &gt;= 5%</t>
  </si>
  <si>
    <t>Maksymalna Ekspozycja na Zakład (Cap)</t>
  </si>
  <si>
    <t>Reżim Selekcji Rynku (Alpha Strategy)</t>
  </si>
  <si>
    <t>Home Win Only</t>
  </si>
  <si>
    <t>Reżim: c = 0.25 | Cap 3.5%</t>
  </si>
  <si>
    <t>Suma ważona stawkami</t>
  </si>
  <si>
    <t>Przewaga informacyjna (Alpha)</t>
  </si>
  <si>
    <t>PORTFEL ZAKŁADÓW KOLEJKI GW38 – WYLICZENIE STAWEK I WIELKOŚCI POZYCJI</t>
  </si>
  <si>
    <t>Spotkanie (Gospodarz vs Gość)</t>
  </si>
  <si>
    <t>Typowany Rynek</t>
  </si>
  <si>
    <t>Kurs Bet365</t>
  </si>
  <si>
    <t>P(Model)</t>
  </si>
  <si>
    <t>Fair P(Implied)</t>
  </si>
  <si>
    <t>Edge (Δp)</t>
  </si>
  <si>
    <t>Expected Value (EV)</t>
  </si>
  <si>
    <t>Full Kelly f*</t>
  </si>
  <si>
    <t>Fractional Kelly f_adj</t>
  </si>
  <si>
    <t>Stawka Kelly [j.]</t>
  </si>
  <si>
    <t>Stawka Płaska (100 j.)</t>
  </si>
  <si>
    <t>Oczekiwany Zysk E[PnL]</t>
  </si>
  <si>
    <t>Status Egzekucji</t>
  </si>
  <si>
    <t>Gospodarz (H)</t>
  </si>
  <si>
    <t>SUMA / PODSUMOWANIE PORTFELA (GW38)</t>
  </si>
  <si>
    <t>EWIDENCJA MODELI ZARZĄDZANIA RYZYKIEM – ANALIZA WZROSTU I DRAWDOWNO-ODPORNOŚCI</t>
  </si>
  <si>
    <t>Model Alokacji Kapitału</t>
  </si>
  <si>
    <t>Formuła Wyznaczenia Stawki</t>
  </si>
  <si>
    <t>Wzrost Geometryczny (Growth)</t>
  </si>
  <si>
    <t>Ryzyko Obsunięcia (&gt;20% Drawdown)</t>
  </si>
  <si>
    <t>Odporność na Błąd Estymacji Modelu</t>
  </si>
  <si>
    <t>Rekomendacja Instytucjonalna / Status</t>
  </si>
  <si>
    <t>1. Flat Staking (Płaska Stawka)</t>
  </si>
  <si>
    <t>Stawka = 100 j. (Stała kwota)</t>
  </si>
  <si>
    <t>Niski (Liniowy wzrost)</t>
  </si>
  <si>
    <t>Umiarkowane (Zależy od bankrollu)</t>
  </si>
  <si>
    <t>Wysoka (Brak reakcji na kursy)</t>
  </si>
  <si>
    <t>Benchmark ewaluacyjny (Zastosowany na Str. 1)</t>
  </si>
  <si>
    <t>2. Flat Percentage (1.0% Kapitału)</t>
  </si>
  <si>
    <t>Stawka = 1.0% * Aktualny Bankroll</t>
  </si>
  <si>
    <t>Średni (Wykładniczy bez optymalizacji)</t>
  </si>
  <si>
    <t>Niskie (Dynamiczne zmniejszanie stawek)</t>
  </si>
  <si>
    <t>Wysoka (Nie skaluje z przewagą EV)</t>
  </si>
  <si>
    <t>Dobra dla prostych strategii bukmacherskich</t>
  </si>
  <si>
    <t>3. Full Kelly Criterion (1.0x)</t>
  </si>
  <si>
    <t>f* = EV / (Kurs - 1)</t>
  </si>
  <si>
    <t>Maksymalny teoretycznie (E[ln(W)])</t>
  </si>
  <si>
    <t>EKSTREMALNE (&gt;50% szansy na 50% DD)</t>
  </si>
  <si>
    <t>BARDZO NISKA (Przeszacowanie p = katastrofa)</t>
  </si>
  <si>
    <t>DYSKWALIFIKACJA (Zbyt agresywny na rynki piłkarskie)</t>
  </si>
  <si>
    <t>4. Quarter-Kelly (0.25x) + Cap 3.5%</t>
  </si>
  <si>
    <t>f_adj = min(3.5%, 0.25 * f*)</t>
  </si>
  <si>
    <t>Wysoki (75% wzrostu Full Kelly)</t>
  </si>
  <si>
    <t>MINIMALNE (&lt;5% szansy na 20% DD)</t>
  </si>
  <si>
    <t>BARDZO WYSOKA (Toleruje błąd szacunku xG/Elo)</t>
  </si>
  <si>
    <t>PRODUKCYJNA REKOMENDACJA QUANT (Nasz Wybór)</t>
  </si>
  <si>
    <t>NOTATKI ARCHITEKTONICZNE I MATEMATYKA ZARZĄDZANIA KAPITAŁEM (QUANT DESK NOTES)</t>
  </si>
  <si>
    <t>1. Wyprowadzenie Wzoru Kelly'ego: Dla zakładu o kursie b+1 (kurs dziesiętny O) i prawdopodobieństwie modelu p, maksymalizacja geometrycznej stopy wzrostu prowadzi do: f* = (b*p - q)/b = (p*(b+1) - 1)/b = EV / (O - 1).</t>
  </si>
  <si>
    <t>2. Dlaczego Frakcja c = 0.25 (Quarter-Kelly): Pełny Kelly zakłada doskonałą znajomość prawdziwego rozkładu prawdopodobieństwa. W modelowaniu sportowym predykcja obarczona jest błędem estymacji parametrów (variance). Frakcja 0.25 zachowuje 75% maksymalnego tempa wzrostu kapitału, redukując zmienność i wariancję obsunięć o ponad 80%.</t>
  </si>
  <si>
    <t>3. Bezpieczeństwo Płynnościowe (Single Bet Cap = 3.5%): Nawet przy skrajnie wysokim EV w pojedynczym spotkaniu model wymusza twardy limit alokacji (Cap = 3.5% kapitału), chroniąc portfel przed zdarzeniami typu 'Black Swan' (czerwona kartka w 5. minucie, kontuzja kluczowego gracza).</t>
  </si>
  <si>
    <t>4. Reżim Selekcji Alpha (Home Only): Zgodnie z wynikami backtestu na zbiorze OOT 2025/2026, zakłady na gości i remisy generowały ujemną alfę ze względu na Favorite-Longshot Bias. Silnik dynamicznie zeruje stawkę (f_adj = 0) dla wszystkich zdarzeń poza wygraną gospodarza z EV &gt;= 5.0%.</t>
  </si>
  <si>
    <t>LA LIGA MODEL EVALUATION &amp; VALIDATION DESK (OUT-OF-TIME 2025/2026)</t>
  </si>
  <si>
    <t>Pełna Ewaluacja Probabilistyczna | Multiclass Log Loss &amp; Brier Score | Confusion Matrix | Analiza Kalibracji Szans</t>
  </si>
  <si>
    <t>MULTICLASS LOG LOSS (OOT)</t>
  </si>
  <si>
    <t>MULTICLASS BRIER SCORE</t>
  </si>
  <si>
    <t>OGÓLNA DOKŁADNOŚĆ (ACCURACY)</t>
  </si>
  <si>
    <t>CZUŁOŚĆ NA REMISY (DRAW RECALL)</t>
  </si>
  <si>
    <t>0.9820</t>
  </si>
  <si>
    <t>0.5818</t>
  </si>
  <si>
    <t>51.58%</t>
  </si>
  <si>
    <t>14.58%</t>
  </si>
  <si>
    <t>Benchmark Naive: 1.0495 (-6.43% błędu)</t>
  </si>
  <si>
    <t>Benchmark Naive: 0.6322 (-7.97% błędu)</t>
  </si>
  <si>
    <t>196 / 380 poprawnych wskazań argmax</t>
  </si>
  <si>
    <t>Problem remisów w modelach probabilistycznych</t>
  </si>
  <si>
    <t>MACIERZ POMYŁEK (MULTICLASS CONFUSION MATRIX – 380 MECZÓW)</t>
  </si>
  <si>
    <t>DRABINA BENCHMARKÓW EWALUACYJNYCH (HIERARCHY OF BASELINES)</t>
  </si>
  <si>
    <t>Rzeczywisty Wynik</t>
  </si>
  <si>
    <t>Klasa</t>
  </si>
  <si>
    <t>PREDYKCJA MODELU (ARGMAX PROBABILITY)</t>
  </si>
  <si>
    <t>Suma Rzeczywista</t>
  </si>
  <si>
    <t>Model / Poziom Referencyjny</t>
  </si>
  <si>
    <t>Log Loss</t>
  </si>
  <si>
    <t>Brier Score</t>
  </si>
  <si>
    <t>Accuracy</t>
  </si>
  <si>
    <t>Status / Rola w Portfolio</t>
  </si>
  <si>
    <t>Remis (X)</t>
  </si>
  <si>
    <t>Gość (A)</t>
  </si>
  <si>
    <t>(Actual Total)</t>
  </si>
  <si>
    <t>Gospodarz (Actual H)</t>
  </si>
  <si>
    <t>H</t>
  </si>
  <si>
    <t>Poziom 0: Naive Historical Prior</t>
  </si>
  <si>
    <t>Punkt zerowy (Rozkład historyczny)</t>
  </si>
  <si>
    <t>Remis (Actual X)</t>
  </si>
  <si>
    <t>X</t>
  </si>
  <si>
    <t>Poziom 1: LightGBM GBDT (Tuned)</t>
  </si>
  <si>
    <t>Czysty ML (Tabularne reguły nieliniowe)</t>
  </si>
  <si>
    <t>Gość (Actual A)</t>
  </si>
  <si>
    <t>A</t>
  </si>
  <si>
    <t>Poziom 2: Poisson GLM (xG &amp; Elo)</t>
  </si>
  <si>
    <t>Model procesowy (Fizyka goli &amp; siła)</t>
  </si>
  <si>
    <t>Suma Predykcji (Pred Total)</t>
  </si>
  <si>
    <t>Poziom 2+: Hybrid Ensemble (0.93/0.07)</t>
  </si>
  <si>
    <t>PRODUKCYJNY SILNIK QUANT (Alpha)</t>
  </si>
  <si>
    <t>Precyzja (Precision = TP / Pred)</t>
  </si>
  <si>
    <t>Poziom 3: Market Closing (Bet365)</t>
  </si>
  <si>
    <t>Górny pułap efektywności rynku</t>
  </si>
  <si>
    <t>Czułość (Recall = TP / Actual)</t>
  </si>
  <si>
    <t>Redukcja Błędu vs Naive Prior:</t>
  </si>
  <si>
    <t>Przewaga informacyjna nad szumem</t>
  </si>
  <si>
    <t>KALIBRACJA PRAWDOPODOBIEŃSTWA I KRZYWA NIEZAWODNOŚCI (PROBABILITY CALIBRATION &amp; RELIABILITY BINS)</t>
  </si>
  <si>
    <t>Koszyk Prawdopodobieństwa (Bin)</t>
  </si>
  <si>
    <t>Liczba Obserwacji (N)</t>
  </si>
  <si>
    <t>Średnie P(Model)</t>
  </si>
  <si>
    <t>Empiryczna Częstość (Actual Rate)</t>
  </si>
  <si>
    <t>Błąd Bezwzględny (Calibration Gap)</t>
  </si>
  <si>
    <t>Ocena Jakości Kalibracji / Diagnoza Rynkowa</t>
  </si>
  <si>
    <t>10.0% – 20.0%</t>
  </si>
  <si>
    <t>Doskonała kalibracja w strefie underdogów</t>
  </si>
  <si>
    <t>20.0% – 30.0%</t>
  </si>
  <si>
    <t>Wysoka spójność (Główna strefa remisów i gości)</t>
  </si>
  <si>
    <t>30.0% – 40.0%</t>
  </si>
  <si>
    <t>Bardzo dobra zbieżność z rzeczywistością</t>
  </si>
  <si>
    <t>40.0% – 50.0%</t>
  </si>
  <si>
    <t>Lekkie niedoszacowanie (faworyci domowi)</t>
  </si>
  <si>
    <t>50.0% – 60.0%</t>
  </si>
  <si>
    <t>Solidna strefa Alpha (Wygrana gospodarzy)</t>
  </si>
  <si>
    <t>60.0% – 70.0%</t>
  </si>
  <si>
    <t>Wyraźna przewaga informacyjna nad rynkiem</t>
  </si>
  <si>
    <t>70.0% – 85.0%+</t>
  </si>
  <si>
    <t>Topowi faworyci (Real / Barca / Atletico)</t>
  </si>
  <si>
    <t>ŁĄCZNIE / ŚREDNIA WAŻONA BŁĘDU (ECE)</t>
  </si>
  <si>
    <t>Expected Calibration Error (ECE) = 0.94% (Wybitna kalibracja)</t>
  </si>
  <si>
    <t>NOTATKI DIAGNOSTYCZNE I STANDARDY EWALUACJI ML W SPORCIE (SENIOR DATA ANALYST AUDIT)</t>
  </si>
  <si>
    <t>1. Pułapka Metryki Accuracy (The Draw Dilemma): W przewidywaniu wyniku 1/X/2 Accuracy jest metryką zwodniczą. Remis w piłce nożnej ma rozkład a priori ~25-27% i rzadko przekracza 35% prawdopodobieństwa w pojedynczym meczu. Model maksymalizujący Accuracy (klasyfikator dyskretny) niemal nigdy nie wytypuje remisu jako klasy wiodącej (stąd czułość na remis wynosi zaledwie 14.58%). Rzeczywistą wartość tworzy estymacja prawdopodobieństwa ciągłego, a nie ślepa klasyfikacja argmax.</t>
  </si>
  <si>
    <t>2. Wyższość Metryki Log Loss i Brier Score: Log Loss rygorystycznie karze nadmierną pewność siebie modelu przy błędnych wskazaniach (funkcja logarytmiczna), zmuszając algorytm do rzetelnej oceny niepewności. Nasz silnik osiągnął Log Loss 0.9820, redukując błąd naiwnego benchmarku o 6.43% i zbliżając się do ultra-efektywnego rynku bukmacherskiego (Bet365 Closing: 0.9656). Brier Score 0.5818 potwierdza minimalną średniokwadratową odchyłkę wektora prawdopodobieństw.</t>
  </si>
  <si>
    <t>3. Test Kalibracji i Expected Calibration Error (ECE): Dla inwestora ilościowego kalibracja jest ważniejsza niż dokładność. Jeśli model przypisuje drużynie 60% szans, musi ona wygrywać dokładnie 6 na 10 razy. Uzyskany wskaźnik ECE na poziomie 0.94% dowodzi, że prawdopodobieństwa modelu są bezpośrednio wymienialne na oczekiwaną stopę zwrotu (EV) i nie wymagają agresywnej post-kalibracji metodą Platt Scaling czy Isotonic Regression.</t>
  </si>
  <si>
    <t>4. Rygor Walidacji Out-of-Time (OOT Split): Wycena została przeprowadzona na pełnym, nienaruszonym sezonie 2025/2026 (380 spotkań). Cechy kroczące xG, statystyki strzałów celnych (SOTR) oraz ranking Elo były zamrażane dokładnie przed rozpoczęciem każdej kolejki. Wykluczono wszelki wyciek informacji z przyszłości (zero data-leakage i zero look-ahead bias).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</si>
</sst>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\+#,##0.0;\-#,##0.0;0.0"/>
    <numFmt numFmtId="165" formatCode="\+0.00;\-0.00;0.00"/>
    <numFmt numFmtId="166" formatCode="\+#,##0;\-#,##0;0"/>
    <numFmt numFmtId="167" formatCode="0.0%"/>
    <numFmt numFmtId="168" formatCode="\+0.0%;\-0.0%;0.0%"/>
    <numFmt numFmtId="169" formatCode="#,##0.00\ &quot;j.&quot;"/>
    <numFmt numFmtId="170" formatCode="\+#,##0.00\ &quot;j.&quot;;\-#,##0.00\ &quot;j.&quot;;0.00\ &quot;j.&quot;"/>
    <numFmt numFmtId="171" formatCode="\+0.00%"/>
    <numFmt numFmtId="172" formatCode="0.00\ &quot;x (Quarter-Kelly)&quot;"/>
    <numFmt numFmtId="173" formatCode="#,##0\ &quot;j.&quot;"/>
    <numFmt numFmtId="174" formatCode="0.0000"/>
    <numFmt numFmtId="175" formatCode="\+0.00%;\-0.00%;0.00%"/>
  </numFmts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i/>
      <sz val="9"/>
      <color rgb="FFE0E6ED"/>
      <name val="Segoe UI"/>
    </font>
    <font>
      <b/>
      <sz val="8"/>
      <color rgb="FF5A6A85"/>
      <name val="Segoe UI"/>
    </font>
    <font>
      <b/>
      <sz val="12"/>
      <color rgb="FF1B365D"/>
      <name val="Segoe UI"/>
    </font>
    <font>
      <i/>
      <sz val="7.5"/>
      <color rgb="FF6C757D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sz val="9"/>
      <color rgb="FF212529"/>
      <name val="Segoe UI"/>
    </font>
    <font>
      <b/>
      <sz val="9"/>
      <color rgb="FF212529"/>
      <name val="Segoe UI"/>
    </font>
    <font>
      <b/>
      <sz val="9"/>
      <color rgb="FF1B365D"/>
      <name val="Segoe UI"/>
    </font>
    <font>
      <b/>
      <sz val="10"/>
      <color rgb="FF1D70B8"/>
      <name val="Segoe UI"/>
    </font>
    <font>
      <b/>
      <sz val="13"/>
      <color rgb="FF1B365D"/>
      <name val="Segoe UI"/>
    </font>
    <font>
      <b/>
      <sz val="13"/>
      <color rgb="FF0F5132"/>
      <name val="Segoe UI"/>
    </font>
    <font>
      <b/>
      <sz val="9"/>
      <color rgb="FFC5221F"/>
      <name val="Segoe UI"/>
    </font>
    <font>
      <b/>
      <sz val="9"/>
      <color rgb="FF0F5132"/>
      <name val="Segoe UI"/>
    </font>
    <font>
      <b/>
      <sz val="13"/>
      <color rgb="FF4A6572"/>
      <name val="Segoe UI"/>
    </font>
    <font>
      <b/>
      <sz val="13"/>
      <color rgb="FF842029"/>
      <name val="Segoe UI"/>
    </font>
    <font>
      <b/>
      <sz val="9.5"/>
      <color rgb="FF0F5132"/>
      <name val="Segoe UI"/>
    </font>
    <font>
      <sz val="8.5"/>
      <color rgb="FF212529"/>
      <name val="Segoe UI"/>
    </font>
    <font>
      <b/>
      <sz val="8.5"/>
      <color rgb="FF0F5132"/>
      <name val="Segoe UI"/>
    </font>
    <font>
      <i/>
      <sz val="8.5"/>
      <color rgb="FF5A6A85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6F9"/>
        <bgColor rgb="FFF4F6F9"/>
      </patternFill>
    </fill>
    <fill>
      <patternFill patternType="solid">
        <fgColor rgb="FF4A6572"/>
        <bgColor rgb="FF4A6572"/>
      </patternFill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  <fill>
      <patternFill patternType="solid">
        <fgColor rgb="FFEBF3FB"/>
        <bgColor rgb="FFEBF3FB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1B365D"/>
      </top>
      <bottom style="medium">
        <color rgb="FF1B365D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double">
        <color rgb="FF1B365D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medium">
        <color rgb="FF1B365D"/>
      </top>
      <bottom/>
      <diagonal/>
    </border>
    <border>
      <left/>
      <right/>
      <top style="medium">
        <color rgb="FF1B365D"/>
      </top>
      <bottom style="medium">
        <color rgb="FF1B365D"/>
      </bottom>
      <diagonal/>
    </border>
    <border>
      <left/>
      <right style="thin">
        <color rgb="FFD0D7DE"/>
      </right>
      <top style="medium">
        <color rgb="FF1B365D"/>
      </top>
      <bottom style="medium">
        <color rgb="FF1B365D"/>
      </bottom>
      <diagonal/>
    </border>
    <border>
      <left style="medium">
        <color rgb="FF1D70B8"/>
      </left>
      <right style="medium">
        <color rgb="FF1D70B8"/>
      </right>
      <top style="medium">
        <color rgb="FF1D70B8"/>
      </top>
      <bottom style="medium">
        <color rgb="FF1D70B8"/>
      </bottom>
      <diagonal/>
    </border>
    <border>
      <left/>
      <right style="medium">
        <color rgb="FF1D70B8"/>
      </right>
      <top style="medium">
        <color rgb="FF1D70B8"/>
      </top>
      <bottom style="medium">
        <color rgb="FF1D70B8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/>
      <top style="thin">
        <color rgb="FFD0D7DE"/>
      </top>
      <bottom style="double">
        <color rgb="FF1B365D"/>
      </bottom>
      <diagonal/>
    </border>
    <border>
      <left/>
      <right style="thin">
        <color rgb="FFD0D7DE"/>
      </right>
      <top style="thin">
        <color rgb="FFD0D7DE"/>
      </top>
      <bottom style="double">
        <color rgb="FF1B365D"/>
      </bottom>
      <diagonal/>
    </border>
    <border>
      <left style="thin">
        <color rgb="FFD0D7DE"/>
      </left>
      <right/>
      <top/>
      <bottom style="medium">
        <color rgb="FF1B365D"/>
      </bottom>
      <diagonal/>
    </border>
    <border>
      <left/>
      <right style="thin">
        <color rgb="FFD0D7DE"/>
      </right>
      <top/>
      <bottom style="medium">
        <color rgb="FF1B365D"/>
      </bottom>
      <diagonal/>
    </border>
    <border>
      <left style="thin">
        <color rgb="FFD0D7DE"/>
      </left>
      <right style="thin">
        <color rgb="FFD0D7DE"/>
      </right>
      <top/>
      <bottom style="medium">
        <color rgb="FF1B365D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166" fontId="8" fillId="0" borderId="1" xfId="0" applyNumberFormat="1" applyFont="1" applyBorder="1"/>
    <xf numFmtId="167" fontId="8" fillId="0" borderId="1" xfId="0" applyNumberFormat="1" applyFont="1" applyBorder="1"/>
    <xf numFmtId="2" fontId="8" fillId="0" borderId="1" xfId="0" applyNumberFormat="1" applyFont="1" applyBorder="1"/>
    <xf numFmtId="168" fontId="8" fillId="0" borderId="1" xfId="0" applyNumberFormat="1" applyFont="1" applyBorder="1"/>
    <xf numFmtId="0" fontId="9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/>
    <xf numFmtId="164" fontId="8" fillId="6" borderId="1" xfId="0" applyNumberFormat="1" applyFont="1" applyFill="1" applyBorder="1"/>
    <xf numFmtId="165" fontId="8" fillId="6" borderId="1" xfId="0" applyNumberFormat="1" applyFont="1" applyFill="1" applyBorder="1"/>
    <xf numFmtId="166" fontId="8" fillId="6" borderId="1" xfId="0" applyNumberFormat="1" applyFont="1" applyFill="1" applyBorder="1"/>
    <xf numFmtId="167" fontId="8" fillId="6" borderId="1" xfId="0" applyNumberFormat="1" applyFont="1" applyFill="1" applyBorder="1"/>
    <xf numFmtId="2" fontId="8" fillId="6" borderId="1" xfId="0" applyNumberFormat="1" applyFont="1" applyFill="1" applyBorder="1"/>
    <xf numFmtId="168" fontId="8" fillId="6" borderId="1" xfId="0" applyNumberFormat="1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0" fillId="3" borderId="3" xfId="0" applyFill="1" applyBorder="1"/>
    <xf numFmtId="164" fontId="9" fillId="3" borderId="3" xfId="0" applyNumberFormat="1" applyFont="1" applyFill="1" applyBorder="1"/>
    <xf numFmtId="165" fontId="9" fillId="3" borderId="3" xfId="0" applyNumberFormat="1" applyFont="1" applyFill="1" applyBorder="1"/>
    <xf numFmtId="166" fontId="9" fillId="3" borderId="3" xfId="0" applyNumberFormat="1" applyFont="1" applyFill="1" applyBorder="1"/>
    <xf numFmtId="167" fontId="9" fillId="3" borderId="3" xfId="0" applyNumberFormat="1" applyFont="1" applyFill="1" applyBorder="1"/>
    <xf numFmtId="2" fontId="9" fillId="3" borderId="3" xfId="0" applyNumberFormat="1" applyFont="1" applyFill="1" applyBorder="1"/>
    <xf numFmtId="168" fontId="9" fillId="3" borderId="3" xfId="0" applyNumberFormat="1" applyFont="1" applyFill="1" applyBorder="1"/>
    <xf numFmtId="0" fontId="9" fillId="3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0" fontId="8" fillId="0" borderId="1" xfId="0" applyNumberFormat="1" applyFont="1" applyBorder="1"/>
    <xf numFmtId="169" fontId="8" fillId="0" borderId="1" xfId="0" applyNumberFormat="1" applyFont="1" applyBorder="1"/>
    <xf numFmtId="173" fontId="8" fillId="0" borderId="1" xfId="0" applyNumberFormat="1" applyFont="1" applyBorder="1"/>
    <xf numFmtId="170" fontId="8" fillId="0" borderId="1" xfId="0" applyNumberFormat="1" applyFont="1" applyBorder="1"/>
    <xf numFmtId="0" fontId="8" fillId="6" borderId="1" xfId="0" applyFont="1" applyFill="1" applyBorder="1" applyAlignment="1">
      <alignment horizontal="left" vertical="center"/>
    </xf>
    <xf numFmtId="10" fontId="8" fillId="6" borderId="1" xfId="0" applyNumberFormat="1" applyFont="1" applyFill="1" applyBorder="1"/>
    <xf numFmtId="169" fontId="8" fillId="6" borderId="1" xfId="0" applyNumberFormat="1" applyFont="1" applyFill="1" applyBorder="1"/>
    <xf numFmtId="173" fontId="8" fillId="6" borderId="1" xfId="0" applyNumberFormat="1" applyFont="1" applyFill="1" applyBorder="1"/>
    <xf numFmtId="170" fontId="8" fillId="6" borderId="1" xfId="0" applyNumberFormat="1" applyFont="1" applyFill="1" applyBorder="1"/>
    <xf numFmtId="10" fontId="9" fillId="3" borderId="3" xfId="0" applyNumberFormat="1" applyFont="1" applyFill="1" applyBorder="1"/>
    <xf numFmtId="169" fontId="9" fillId="3" borderId="3" xfId="0" applyNumberFormat="1" applyFont="1" applyFill="1" applyBorder="1"/>
    <xf numFmtId="173" fontId="9" fillId="3" borderId="3" xfId="0" applyNumberFormat="1" applyFont="1" applyFill="1" applyBorder="1"/>
    <xf numFmtId="170" fontId="9" fillId="3" borderId="3" xfId="0" applyNumberFormat="1" applyFont="1" applyFill="1" applyBorder="1"/>
    <xf numFmtId="0" fontId="7" fillId="5" borderId="2" xfId="0" applyFont="1" applyFill="1" applyBorder="1"/>
    <xf numFmtId="0" fontId="0" fillId="0" borderId="18" xfId="0" applyBorder="1"/>
    <xf numFmtId="0" fontId="0" fillId="0" borderId="19" xfId="0" applyBorder="1"/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74" fontId="8" fillId="0" borderId="1" xfId="0" applyNumberFormat="1" applyFont="1" applyBorder="1" applyAlignment="1">
      <alignment horizontal="right" vertical="center"/>
    </xf>
    <xf numFmtId="10" fontId="8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left" vertical="center"/>
    </xf>
    <xf numFmtId="174" fontId="9" fillId="3" borderId="1" xfId="0" applyNumberFormat="1" applyFont="1" applyFill="1" applyBorder="1" applyAlignment="1">
      <alignment horizontal="right" vertical="center"/>
    </xf>
    <xf numFmtId="10" fontId="9" fillId="3" borderId="1" xfId="0" applyNumberFormat="1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left" vertical="center"/>
    </xf>
    <xf numFmtId="167" fontId="9" fillId="0" borderId="1" xfId="0" applyNumberFormat="1" applyFont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10" fontId="9" fillId="3" borderId="3" xfId="0" applyNumberFormat="1" applyFont="1" applyFill="1" applyBorder="1" applyAlignment="1">
      <alignment horizontal="center" vertical="center"/>
    </xf>
    <xf numFmtId="175" fontId="18" fillId="3" borderId="3" xfId="0" applyNumberFormat="1" applyFont="1" applyFill="1" applyBorder="1" applyAlignment="1">
      <alignment horizontal="right" vertical="center"/>
    </xf>
    <xf numFmtId="0" fontId="21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4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6" fillId="5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72" fontId="11" fillId="7" borderId="11" xfId="0" applyNumberFormat="1" applyFont="1" applyFill="1" applyBorder="1" applyAlignment="1">
      <alignment horizontal="center" vertical="center"/>
    </xf>
    <xf numFmtId="0" fontId="0" fillId="0" borderId="12" xfId="0" applyBorder="1"/>
    <xf numFmtId="0" fontId="8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69" fontId="11" fillId="7" borderId="11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13" xfId="0" applyBorder="1"/>
    <xf numFmtId="0" fontId="0" fillId="0" borderId="14" xfId="0" applyBorder="1"/>
    <xf numFmtId="0" fontId="8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15" xfId="0" applyBorder="1"/>
    <xf numFmtId="0" fontId="9" fillId="3" borderId="3" xfId="0" applyFont="1" applyFill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8" fillId="6" borderId="1" xfId="0" applyFont="1" applyFill="1" applyBorder="1" applyAlignment="1">
      <alignment horizontal="center" vertical="center"/>
    </xf>
    <xf numFmtId="170" fontId="13" fillId="3" borderId="1" xfId="0" applyNumberFormat="1" applyFont="1" applyFill="1" applyBorder="1" applyAlignment="1">
      <alignment horizontal="center" vertical="center"/>
    </xf>
    <xf numFmtId="49" fontId="11" fillId="7" borderId="11" xfId="0" applyNumberFormat="1" applyFont="1" applyFill="1" applyBorder="1" applyAlignment="1">
      <alignment horizontal="center" vertical="center"/>
    </xf>
    <xf numFmtId="171" fontId="13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67" fontId="11" fillId="7" borderId="1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7" fontId="8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0" fontId="9" fillId="0" borderId="1" xfId="0" applyFont="1" applyBorder="1" applyAlignment="1">
      <alignment horizontal="left" vertical="center"/>
    </xf>
    <xf numFmtId="0" fontId="0" fillId="0" borderId="20" xfId="0" applyBorder="1"/>
    <xf numFmtId="0" fontId="0" fillId="0" borderId="1" xfId="0" applyBorder="1"/>
    <xf numFmtId="10" fontId="9" fillId="0" borderId="1" xfId="0" applyNumberFormat="1" applyFont="1" applyBorder="1" applyAlignment="1">
      <alignment horizontal="right" vertical="center"/>
    </xf>
    <xf numFmtId="0" fontId="0" fillId="0" borderId="8" xfId="0" applyBorder="1"/>
    <xf numFmtId="0" fontId="20" fillId="3" borderId="3" xfId="0" applyFont="1" applyFill="1" applyBorder="1" applyAlignment="1">
      <alignment horizontal="center" vertical="center"/>
    </xf>
    <xf numFmtId="0" fontId="0" fillId="3" borderId="3" xfId="0" applyFill="1" applyBorder="1"/>
    <xf numFmtId="10" fontId="9" fillId="6" borderId="1" xfId="0" applyNumberFormat="1" applyFont="1" applyFill="1" applyBorder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3" fontId="9" fillId="3" borderId="3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right" vertical="center"/>
    </xf>
    <xf numFmtId="0" fontId="12" fillId="3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right" vertical="center"/>
    </xf>
    <xf numFmtId="0" fontId="0" fillId="3" borderId="1" xfId="0" applyFill="1" applyBorder="1"/>
    <xf numFmtId="0" fontId="7" fillId="4" borderId="2" xfId="0" applyFont="1" applyFill="1" applyBorder="1" applyAlignment="1">
      <alignment horizontal="center" vertical="center"/>
    </xf>
    <xf numFmtId="0" fontId="0" fillId="0" borderId="2" xfId="0" applyBorder="1"/>
    <xf numFmtId="3" fontId="8" fillId="0" borderId="1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0" fontId="9" fillId="3" borderId="3" xfId="0" applyFont="1" applyFill="1" applyBorder="1"/>
    <xf numFmtId="10" fontId="18" fillId="3" borderId="3" xfId="0" applyNumberFormat="1" applyFont="1" applyFill="1" applyBorder="1" applyAlignment="1">
      <alignment horizontal="right" vertical="center"/>
    </xf>
  </cellXfs>
  <cellStyles count="1">
    <cellStyle name="Normalny" xfId="0" builtinId="0"/>
  </cellStyles>
  <dxfs count="4">
    <dxf>
      <font>
        <b/>
        <sz val="9"/>
        <color rgb="FF0F5132"/>
        <name val="Segoe UI"/>
      </font>
      <fill>
        <patternFill patternType="solid">
          <fgColor rgb="FFE6F4EA"/>
          <bgColor rgb="FFE6F4EA"/>
        </patternFill>
      </fill>
    </dxf>
    <dxf>
      <font>
        <b/>
        <sz val="9"/>
        <color rgb="FF0F5132"/>
        <name val="Segoe UI"/>
      </font>
      <fill>
        <patternFill patternType="solid">
          <fgColor rgb="FFE6F4EA"/>
          <bgColor rgb="FFE6F4EA"/>
        </patternFill>
      </fill>
    </dxf>
    <dxf>
      <font>
        <sz val="9"/>
        <color rgb="FF842029"/>
        <name val="Segoe UI"/>
      </font>
      <fill>
        <patternFill patternType="solid">
          <fgColor rgb="FFFCE8E6"/>
          <bgColor rgb="FFFCE8E6"/>
        </patternFill>
      </fill>
    </dxf>
    <dxf>
      <font>
        <b/>
        <sz val="9"/>
        <color rgb="FF0F5132"/>
        <name val="Segoe UI"/>
      </font>
      <fill>
        <patternFill patternType="solid">
          <fgColor rgb="FFE6F4EA"/>
          <bgColor rgb="FFE6F4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>
      <pane xSplit="5" ySplit="9" topLeftCell="F10" activePane="bottomRight" state="frozen"/>
      <selection pane="topRight"/>
      <selection pane="bottomLeft"/>
      <selection pane="bottomRight" activeCell="I10" sqref="I10"/>
    </sheetView>
  </sheetViews>
  <sheetFormatPr defaultRowHeight="14.4" x14ac:dyDescent="0.3"/>
  <cols>
    <col min="1" max="2" width="13" customWidth="1"/>
    <col min="3" max="4" width="18" customWidth="1"/>
    <col min="5" max="5" width="10" customWidth="1"/>
    <col min="6" max="6" width="12" customWidth="1"/>
    <col min="7" max="7" width="16" customWidth="1"/>
    <col min="8" max="8" width="14" customWidth="1"/>
    <col min="9" max="11" width="11" customWidth="1"/>
    <col min="12" max="14" width="10" customWidth="1"/>
    <col min="15" max="17" width="13" customWidth="1"/>
    <col min="18" max="20" width="12" customWidth="1"/>
    <col min="21" max="21" width="26" customWidth="1"/>
  </cols>
  <sheetData>
    <row r="1" spans="1:21" ht="28.05" customHeight="1" x14ac:dyDescent="0.3">
      <c r="A1" s="77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</row>
    <row r="2" spans="1:21" ht="18" customHeight="1" x14ac:dyDescent="0.3">
      <c r="A2" s="73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4" spans="1:21" ht="16.05" customHeight="1" x14ac:dyDescent="0.3">
      <c r="B4" s="71" t="s">
        <v>2</v>
      </c>
      <c r="C4" s="63"/>
      <c r="D4" s="64"/>
      <c r="F4" s="71" t="s">
        <v>3</v>
      </c>
      <c r="G4" s="63"/>
      <c r="H4" s="64"/>
      <c r="J4" s="71" t="s">
        <v>4</v>
      </c>
      <c r="K4" s="63"/>
      <c r="L4" s="64"/>
      <c r="N4" s="71" t="s">
        <v>5</v>
      </c>
      <c r="O4" s="63"/>
      <c r="P4" s="64"/>
    </row>
    <row r="5" spans="1:21" ht="22.05" customHeight="1" x14ac:dyDescent="0.3">
      <c r="B5" s="65" t="s">
        <v>6</v>
      </c>
      <c r="C5" s="63"/>
      <c r="D5" s="64"/>
      <c r="F5" s="65" t="s">
        <v>7</v>
      </c>
      <c r="G5" s="63"/>
      <c r="H5" s="64"/>
      <c r="J5" s="65" t="s">
        <v>8</v>
      </c>
      <c r="K5" s="63"/>
      <c r="L5" s="64"/>
      <c r="N5" s="65" t="s">
        <v>9</v>
      </c>
      <c r="O5" s="63"/>
      <c r="P5" s="64"/>
    </row>
    <row r="6" spans="1:21" ht="16.05" customHeight="1" x14ac:dyDescent="0.3">
      <c r="B6" s="62" t="s">
        <v>10</v>
      </c>
      <c r="C6" s="63"/>
      <c r="D6" s="64"/>
      <c r="F6" s="62" t="s">
        <v>11</v>
      </c>
      <c r="G6" s="63"/>
      <c r="H6" s="64"/>
      <c r="J6" s="62" t="s">
        <v>12</v>
      </c>
      <c r="K6" s="63"/>
      <c r="L6" s="64"/>
      <c r="N6" s="62" t="s">
        <v>13</v>
      </c>
      <c r="O6" s="63"/>
      <c r="P6" s="64"/>
    </row>
    <row r="8" spans="1:21" ht="22.05" customHeight="1" x14ac:dyDescent="0.3">
      <c r="A8" s="66" t="s">
        <v>14</v>
      </c>
      <c r="B8" s="69"/>
      <c r="C8" s="69"/>
      <c r="D8" s="69"/>
      <c r="E8" s="70"/>
      <c r="F8" s="68" t="s">
        <v>15</v>
      </c>
      <c r="G8" s="69"/>
      <c r="H8" s="70"/>
      <c r="I8" s="75" t="s">
        <v>16</v>
      </c>
      <c r="J8" s="69"/>
      <c r="K8" s="70"/>
      <c r="L8" s="66" t="s">
        <v>17</v>
      </c>
      <c r="M8" s="69"/>
      <c r="N8" s="70"/>
      <c r="O8" s="68" t="s">
        <v>18</v>
      </c>
      <c r="P8" s="69"/>
      <c r="Q8" s="70"/>
      <c r="R8" s="75" t="s">
        <v>19</v>
      </c>
      <c r="S8" s="69"/>
      <c r="T8" s="70"/>
      <c r="U8" s="66" t="s">
        <v>20</v>
      </c>
    </row>
    <row r="9" spans="1:21" ht="24" customHeight="1" x14ac:dyDescent="0.3">
      <c r="A9" s="1" t="s">
        <v>21</v>
      </c>
      <c r="B9" s="1" t="s">
        <v>22</v>
      </c>
      <c r="C9" s="2" t="s">
        <v>23</v>
      </c>
      <c r="D9" s="2" t="s">
        <v>24</v>
      </c>
      <c r="E9" s="1" t="s">
        <v>25</v>
      </c>
      <c r="F9" s="3" t="s">
        <v>26</v>
      </c>
      <c r="G9" s="3" t="s">
        <v>27</v>
      </c>
      <c r="H9" s="3" t="s">
        <v>28</v>
      </c>
      <c r="I9" s="3" t="s">
        <v>29</v>
      </c>
      <c r="J9" s="3" t="s">
        <v>30</v>
      </c>
      <c r="K9" s="3" t="s">
        <v>31</v>
      </c>
      <c r="L9" s="3" t="s">
        <v>32</v>
      </c>
      <c r="M9" s="3" t="s">
        <v>33</v>
      </c>
      <c r="N9" s="3" t="s">
        <v>34</v>
      </c>
      <c r="O9" s="3" t="s">
        <v>35</v>
      </c>
      <c r="P9" s="3" t="s">
        <v>36</v>
      </c>
      <c r="Q9" s="3" t="s">
        <v>37</v>
      </c>
      <c r="R9" s="3" t="s">
        <v>38</v>
      </c>
      <c r="S9" s="3" t="s">
        <v>39</v>
      </c>
      <c r="T9" s="3" t="s">
        <v>40</v>
      </c>
      <c r="U9" s="1" t="s">
        <v>41</v>
      </c>
    </row>
    <row r="10" spans="1:21" ht="19.95" customHeight="1" x14ac:dyDescent="0.3">
      <c r="A10" s="4" t="s">
        <v>42</v>
      </c>
      <c r="B10" s="4" t="s">
        <v>43</v>
      </c>
      <c r="C10" s="5" t="s">
        <v>44</v>
      </c>
      <c r="D10" s="5" t="s">
        <v>45</v>
      </c>
      <c r="E10" s="4" t="s">
        <v>46</v>
      </c>
      <c r="F10" s="6">
        <v>248.5</v>
      </c>
      <c r="G10" s="7">
        <v>0.92</v>
      </c>
      <c r="H10" s="8">
        <v>1</v>
      </c>
      <c r="I10" s="9">
        <v>0.72499999999999998</v>
      </c>
      <c r="J10" s="9">
        <v>0.17799999999999999</v>
      </c>
      <c r="K10" s="9">
        <v>9.7000000000000003E-2</v>
      </c>
      <c r="L10" s="10">
        <v>1.48</v>
      </c>
      <c r="M10" s="10">
        <v>4.5999999999999996</v>
      </c>
      <c r="N10" s="10">
        <v>6.8</v>
      </c>
      <c r="O10" s="9">
        <f t="shared" ref="O10:O19" si="0">(1/L10) / (1/L10 + 1/M10 + 1/N10)</f>
        <v>0.64960956969596273</v>
      </c>
      <c r="P10" s="9">
        <f t="shared" ref="P10:P19" si="1">(1/M10) / (1/L10 + 1/M10 + 1/N10)</f>
        <v>0.20900481807609239</v>
      </c>
      <c r="Q10" s="9">
        <f t="shared" ref="Q10:Q19" si="2">(1/N10) / (1/L10 + 1/M10 + 1/N10)</f>
        <v>0.14138561222794485</v>
      </c>
      <c r="R10" s="11">
        <f t="shared" ref="R10:R19" si="3">(I10 * L10) - 1</f>
        <v>7.2999999999999954E-2</v>
      </c>
      <c r="S10" s="11">
        <f t="shared" ref="S10:S19" si="4">(J10 * M10) - 1</f>
        <v>-0.18120000000000014</v>
      </c>
      <c r="T10" s="11">
        <f t="shared" ref="T10:T19" si="5">(K10 * N10) - 1</f>
        <v>-0.34040000000000004</v>
      </c>
      <c r="U10" s="12" t="str">
        <f t="shared" ref="U10:U19" si="6">IF(R10&gt;=0.05, "VALUE TARGET (HOME)", IF(MAX(R10:T10)&gt;=0.05, "PASS (EXCLUDED MARKET)", "PASS (NO EDGE)"))</f>
        <v>VALUE TARGET (HOME)</v>
      </c>
    </row>
    <row r="11" spans="1:21" ht="19.95" customHeight="1" x14ac:dyDescent="0.3">
      <c r="A11" s="13" t="s">
        <v>47</v>
      </c>
      <c r="B11" s="13" t="s">
        <v>43</v>
      </c>
      <c r="C11" s="14" t="s">
        <v>48</v>
      </c>
      <c r="D11" s="14" t="s">
        <v>49</v>
      </c>
      <c r="E11" s="13" t="s">
        <v>46</v>
      </c>
      <c r="F11" s="15">
        <v>185</v>
      </c>
      <c r="G11" s="16">
        <v>0.74</v>
      </c>
      <c r="H11" s="17">
        <v>-1</v>
      </c>
      <c r="I11" s="18">
        <v>0.65200000000000002</v>
      </c>
      <c r="J11" s="18">
        <v>0.21</v>
      </c>
      <c r="K11" s="18">
        <v>0.13800000000000001</v>
      </c>
      <c r="L11" s="19">
        <v>1.62</v>
      </c>
      <c r="M11" s="19">
        <v>4.2</v>
      </c>
      <c r="N11" s="19">
        <v>5.5</v>
      </c>
      <c r="O11" s="18">
        <f t="shared" si="0"/>
        <v>0.59514608131086721</v>
      </c>
      <c r="P11" s="18">
        <f t="shared" si="1"/>
        <v>0.22955634564847735</v>
      </c>
      <c r="Q11" s="18">
        <f t="shared" si="2"/>
        <v>0.17529757304065544</v>
      </c>
      <c r="R11" s="20">
        <f t="shared" si="3"/>
        <v>5.6240000000000068E-2</v>
      </c>
      <c r="S11" s="20">
        <f t="shared" si="4"/>
        <v>-0.11799999999999999</v>
      </c>
      <c r="T11" s="20">
        <f t="shared" si="5"/>
        <v>-0.24099999999999988</v>
      </c>
      <c r="U11" s="21" t="str">
        <f t="shared" si="6"/>
        <v>VALUE TARGET (HOME)</v>
      </c>
    </row>
    <row r="12" spans="1:21" ht="19.95" customHeight="1" x14ac:dyDescent="0.3">
      <c r="A12" s="4" t="s">
        <v>50</v>
      </c>
      <c r="B12" s="4" t="s">
        <v>43</v>
      </c>
      <c r="C12" s="5" t="s">
        <v>51</v>
      </c>
      <c r="D12" s="5" t="s">
        <v>52</v>
      </c>
      <c r="E12" s="4" t="s">
        <v>46</v>
      </c>
      <c r="F12" s="6">
        <v>142</v>
      </c>
      <c r="G12" s="7">
        <v>0.51</v>
      </c>
      <c r="H12" s="8">
        <v>0</v>
      </c>
      <c r="I12" s="9">
        <v>0.58399999999999996</v>
      </c>
      <c r="J12" s="9">
        <v>0.252</v>
      </c>
      <c r="K12" s="9">
        <v>0.16400000000000001</v>
      </c>
      <c r="L12" s="10">
        <v>1.85</v>
      </c>
      <c r="M12" s="10">
        <v>3.65</v>
      </c>
      <c r="N12" s="10">
        <v>4.4000000000000004</v>
      </c>
      <c r="O12" s="9">
        <f t="shared" si="0"/>
        <v>0.51885954284791214</v>
      </c>
      <c r="P12" s="9">
        <f t="shared" si="1"/>
        <v>0.26298360390921577</v>
      </c>
      <c r="Q12" s="9">
        <f t="shared" si="2"/>
        <v>0.21815685324287218</v>
      </c>
      <c r="R12" s="11">
        <f t="shared" si="3"/>
        <v>8.0400000000000027E-2</v>
      </c>
      <c r="S12" s="11">
        <f t="shared" si="4"/>
        <v>-8.0200000000000049E-2</v>
      </c>
      <c r="T12" s="11">
        <f t="shared" si="5"/>
        <v>-0.27839999999999987</v>
      </c>
      <c r="U12" s="12" t="str">
        <f t="shared" si="6"/>
        <v>VALUE TARGET (HOME)</v>
      </c>
    </row>
    <row r="13" spans="1:21" ht="19.95" customHeight="1" x14ac:dyDescent="0.3">
      <c r="A13" s="13" t="s">
        <v>53</v>
      </c>
      <c r="B13" s="13" t="s">
        <v>43</v>
      </c>
      <c r="C13" s="14" t="s">
        <v>54</v>
      </c>
      <c r="D13" s="14" t="s">
        <v>55</v>
      </c>
      <c r="E13" s="13" t="s">
        <v>46</v>
      </c>
      <c r="F13" s="15">
        <v>68</v>
      </c>
      <c r="G13" s="16">
        <v>0.35</v>
      </c>
      <c r="H13" s="17">
        <v>2</v>
      </c>
      <c r="I13" s="18">
        <v>0.51800000000000002</v>
      </c>
      <c r="J13" s="18">
        <v>0.26500000000000001</v>
      </c>
      <c r="K13" s="18">
        <v>0.217</v>
      </c>
      <c r="L13" s="19">
        <v>2.12</v>
      </c>
      <c r="M13" s="19">
        <v>3.5</v>
      </c>
      <c r="N13" s="19">
        <v>3.5</v>
      </c>
      <c r="O13" s="18">
        <f t="shared" si="0"/>
        <v>0.45219638242894056</v>
      </c>
      <c r="P13" s="18">
        <f t="shared" si="1"/>
        <v>0.27390180878552972</v>
      </c>
      <c r="Q13" s="18">
        <f t="shared" si="2"/>
        <v>0.27390180878552972</v>
      </c>
      <c r="R13" s="20">
        <f t="shared" si="3"/>
        <v>9.8160000000000025E-2</v>
      </c>
      <c r="S13" s="20">
        <f t="shared" si="4"/>
        <v>-7.2500000000000009E-2</v>
      </c>
      <c r="T13" s="20">
        <f t="shared" si="5"/>
        <v>-0.24050000000000005</v>
      </c>
      <c r="U13" s="21" t="str">
        <f t="shared" si="6"/>
        <v>VALUE TARGET (HOME)</v>
      </c>
    </row>
    <row r="14" spans="1:21" ht="19.95" customHeight="1" x14ac:dyDescent="0.3">
      <c r="A14" s="4" t="s">
        <v>56</v>
      </c>
      <c r="B14" s="4" t="s">
        <v>43</v>
      </c>
      <c r="C14" s="5" t="s">
        <v>57</v>
      </c>
      <c r="D14" s="5" t="s">
        <v>58</v>
      </c>
      <c r="E14" s="4" t="s">
        <v>46</v>
      </c>
      <c r="F14" s="6">
        <v>35</v>
      </c>
      <c r="G14" s="7">
        <v>0.18</v>
      </c>
      <c r="H14" s="8">
        <v>0</v>
      </c>
      <c r="I14" s="9">
        <v>0.46500000000000002</v>
      </c>
      <c r="J14" s="9">
        <v>0.30499999999999999</v>
      </c>
      <c r="K14" s="9">
        <v>0.23</v>
      </c>
      <c r="L14" s="10">
        <v>2.2999999999999998</v>
      </c>
      <c r="M14" s="10">
        <v>3.2</v>
      </c>
      <c r="N14" s="10">
        <v>3.4</v>
      </c>
      <c r="O14" s="9">
        <f t="shared" si="0"/>
        <v>0.41749808135072913</v>
      </c>
      <c r="P14" s="9">
        <f t="shared" si="1"/>
        <v>0.30007674597083656</v>
      </c>
      <c r="Q14" s="9">
        <f t="shared" si="2"/>
        <v>0.28242517267843437</v>
      </c>
      <c r="R14" s="11">
        <f t="shared" si="3"/>
        <v>6.9499999999999895E-2</v>
      </c>
      <c r="S14" s="11">
        <f t="shared" si="4"/>
        <v>-2.4000000000000021E-2</v>
      </c>
      <c r="T14" s="11">
        <f t="shared" si="5"/>
        <v>-0.21799999999999997</v>
      </c>
      <c r="U14" s="12" t="str">
        <f t="shared" si="6"/>
        <v>VALUE TARGET (HOME)</v>
      </c>
    </row>
    <row r="15" spans="1:21" ht="19.95" customHeight="1" x14ac:dyDescent="0.3">
      <c r="A15" s="13" t="s">
        <v>59</v>
      </c>
      <c r="B15" s="13" t="s">
        <v>43</v>
      </c>
      <c r="C15" s="14" t="s">
        <v>60</v>
      </c>
      <c r="D15" s="14" t="s">
        <v>61</v>
      </c>
      <c r="E15" s="13" t="s">
        <v>46</v>
      </c>
      <c r="F15" s="15">
        <v>22</v>
      </c>
      <c r="G15" s="16">
        <v>0.12</v>
      </c>
      <c r="H15" s="17">
        <v>0</v>
      </c>
      <c r="I15" s="18">
        <v>0.442</v>
      </c>
      <c r="J15" s="18">
        <v>0.29799999999999999</v>
      </c>
      <c r="K15" s="18">
        <v>0.26</v>
      </c>
      <c r="L15" s="19">
        <v>2.4500000000000002</v>
      </c>
      <c r="M15" s="19">
        <v>3.25</v>
      </c>
      <c r="N15" s="19">
        <v>3.1</v>
      </c>
      <c r="O15" s="18">
        <f t="shared" si="0"/>
        <v>0.39305569101726323</v>
      </c>
      <c r="P15" s="18">
        <f t="shared" si="1"/>
        <v>0.29630352092070616</v>
      </c>
      <c r="Q15" s="18">
        <f t="shared" si="2"/>
        <v>0.3106407880620306</v>
      </c>
      <c r="R15" s="20">
        <f t="shared" si="3"/>
        <v>8.2900000000000196E-2</v>
      </c>
      <c r="S15" s="20">
        <f t="shared" si="4"/>
        <v>-3.1500000000000083E-2</v>
      </c>
      <c r="T15" s="20">
        <f t="shared" si="5"/>
        <v>-0.19399999999999995</v>
      </c>
      <c r="U15" s="21" t="str">
        <f t="shared" si="6"/>
        <v>VALUE TARGET (HOME)</v>
      </c>
    </row>
    <row r="16" spans="1:21" ht="19.95" customHeight="1" x14ac:dyDescent="0.3">
      <c r="A16" s="4" t="s">
        <v>62</v>
      </c>
      <c r="B16" s="4" t="s">
        <v>43</v>
      </c>
      <c r="C16" s="5" t="s">
        <v>63</v>
      </c>
      <c r="D16" s="5" t="s">
        <v>64</v>
      </c>
      <c r="E16" s="4" t="s">
        <v>46</v>
      </c>
      <c r="F16" s="6">
        <v>55</v>
      </c>
      <c r="G16" s="7">
        <v>0.28000000000000003</v>
      </c>
      <c r="H16" s="8">
        <v>-2</v>
      </c>
      <c r="I16" s="9">
        <v>0.495</v>
      </c>
      <c r="J16" s="9">
        <v>0.28000000000000003</v>
      </c>
      <c r="K16" s="9">
        <v>0.22500000000000001</v>
      </c>
      <c r="L16" s="10">
        <v>2.15</v>
      </c>
      <c r="M16" s="10">
        <v>3.4</v>
      </c>
      <c r="N16" s="10">
        <v>3.6</v>
      </c>
      <c r="O16" s="9">
        <f t="shared" si="0"/>
        <v>0.44851593990472693</v>
      </c>
      <c r="P16" s="9">
        <f t="shared" si="1"/>
        <v>0.28362037376328325</v>
      </c>
      <c r="Q16" s="9">
        <f t="shared" si="2"/>
        <v>0.2678636863319897</v>
      </c>
      <c r="R16" s="11">
        <f t="shared" si="3"/>
        <v>6.4249999999999918E-2</v>
      </c>
      <c r="S16" s="11">
        <f t="shared" si="4"/>
        <v>-4.7999999999999932E-2</v>
      </c>
      <c r="T16" s="11">
        <f t="shared" si="5"/>
        <v>-0.18999999999999995</v>
      </c>
      <c r="U16" s="12" t="str">
        <f t="shared" si="6"/>
        <v>VALUE TARGET (HOME)</v>
      </c>
    </row>
    <row r="17" spans="1:21" ht="19.95" customHeight="1" x14ac:dyDescent="0.3">
      <c r="A17" s="13" t="s">
        <v>65</v>
      </c>
      <c r="B17" s="13" t="s">
        <v>43</v>
      </c>
      <c r="C17" s="14" t="s">
        <v>66</v>
      </c>
      <c r="D17" s="14" t="s">
        <v>67</v>
      </c>
      <c r="E17" s="13" t="s">
        <v>46</v>
      </c>
      <c r="F17" s="15">
        <v>15</v>
      </c>
      <c r="G17" s="16">
        <v>0.05</v>
      </c>
      <c r="H17" s="17">
        <v>0</v>
      </c>
      <c r="I17" s="18">
        <v>0.41499999999999998</v>
      </c>
      <c r="J17" s="18">
        <v>0.312</v>
      </c>
      <c r="K17" s="18">
        <v>0.27300000000000002</v>
      </c>
      <c r="L17" s="19">
        <v>2.5499999999999998</v>
      </c>
      <c r="M17" s="19">
        <v>3.2</v>
      </c>
      <c r="N17" s="19">
        <v>3</v>
      </c>
      <c r="O17" s="18">
        <f t="shared" si="0"/>
        <v>0.37780401416765053</v>
      </c>
      <c r="P17" s="18">
        <f t="shared" si="1"/>
        <v>0.30106257378984647</v>
      </c>
      <c r="Q17" s="18">
        <f t="shared" si="2"/>
        <v>0.3211334120425029</v>
      </c>
      <c r="R17" s="20">
        <f t="shared" si="3"/>
        <v>5.8249999999999913E-2</v>
      </c>
      <c r="S17" s="20">
        <f t="shared" si="4"/>
        <v>-1.5999999999999348E-3</v>
      </c>
      <c r="T17" s="20">
        <f t="shared" si="5"/>
        <v>-0.18099999999999994</v>
      </c>
      <c r="U17" s="21" t="str">
        <f t="shared" si="6"/>
        <v>VALUE TARGET (HOME)</v>
      </c>
    </row>
    <row r="18" spans="1:21" ht="19.95" customHeight="1" x14ac:dyDescent="0.3">
      <c r="A18" s="4" t="s">
        <v>68</v>
      </c>
      <c r="B18" s="4" t="s">
        <v>43</v>
      </c>
      <c r="C18" s="5" t="s">
        <v>69</v>
      </c>
      <c r="D18" s="5" t="s">
        <v>70</v>
      </c>
      <c r="E18" s="4" t="s">
        <v>46</v>
      </c>
      <c r="F18" s="6">
        <v>-10</v>
      </c>
      <c r="G18" s="7">
        <v>-0.08</v>
      </c>
      <c r="H18" s="8">
        <v>0</v>
      </c>
      <c r="I18" s="9">
        <v>0.38500000000000001</v>
      </c>
      <c r="J18" s="9">
        <v>0.32</v>
      </c>
      <c r="K18" s="9">
        <v>0.29499999999999998</v>
      </c>
      <c r="L18" s="10">
        <v>2.7</v>
      </c>
      <c r="M18" s="10">
        <v>3.25</v>
      </c>
      <c r="N18" s="10">
        <v>2.8</v>
      </c>
      <c r="O18" s="9">
        <f t="shared" si="0"/>
        <v>0.35777471987418913</v>
      </c>
      <c r="P18" s="9">
        <f t="shared" si="1"/>
        <v>0.29722822881855715</v>
      </c>
      <c r="Q18" s="9">
        <f t="shared" si="2"/>
        <v>0.34499705130725383</v>
      </c>
      <c r="R18" s="11">
        <f t="shared" si="3"/>
        <v>3.9500000000000091E-2</v>
      </c>
      <c r="S18" s="11">
        <f t="shared" si="4"/>
        <v>4.0000000000000036E-2</v>
      </c>
      <c r="T18" s="11">
        <f t="shared" si="5"/>
        <v>-0.17400000000000004</v>
      </c>
      <c r="U18" s="12" t="str">
        <f t="shared" si="6"/>
        <v>PASS (NO EDGE)</v>
      </c>
    </row>
    <row r="19" spans="1:21" ht="19.95" customHeight="1" x14ac:dyDescent="0.3">
      <c r="A19" s="13" t="s">
        <v>71</v>
      </c>
      <c r="B19" s="13" t="s">
        <v>43</v>
      </c>
      <c r="C19" s="14" t="s">
        <v>72</v>
      </c>
      <c r="D19" s="14" t="s">
        <v>73</v>
      </c>
      <c r="E19" s="13" t="s">
        <v>46</v>
      </c>
      <c r="F19" s="15">
        <v>-25</v>
      </c>
      <c r="G19" s="16">
        <v>-0.15</v>
      </c>
      <c r="H19" s="17">
        <v>1</v>
      </c>
      <c r="I19" s="18">
        <v>0.36</v>
      </c>
      <c r="J19" s="18">
        <v>0.32500000000000001</v>
      </c>
      <c r="K19" s="18">
        <v>0.315</v>
      </c>
      <c r="L19" s="19">
        <v>2.9</v>
      </c>
      <c r="M19" s="19">
        <v>3.2</v>
      </c>
      <c r="N19" s="19">
        <v>2.65</v>
      </c>
      <c r="O19" s="18">
        <f t="shared" si="0"/>
        <v>0.33326783258007464</v>
      </c>
      <c r="P19" s="18">
        <f t="shared" si="1"/>
        <v>0.30202397327569264</v>
      </c>
      <c r="Q19" s="18">
        <f t="shared" si="2"/>
        <v>0.36470819414423261</v>
      </c>
      <c r="R19" s="20">
        <f t="shared" si="3"/>
        <v>4.4000000000000039E-2</v>
      </c>
      <c r="S19" s="20">
        <f t="shared" si="4"/>
        <v>4.0000000000000036E-2</v>
      </c>
      <c r="T19" s="20">
        <f t="shared" si="5"/>
        <v>-0.16525000000000001</v>
      </c>
      <c r="U19" s="21" t="str">
        <f t="shared" si="6"/>
        <v>PASS (NO EDGE)</v>
      </c>
    </row>
    <row r="20" spans="1:21" ht="22.05" customHeight="1" x14ac:dyDescent="0.3">
      <c r="A20" s="22" t="s">
        <v>74</v>
      </c>
      <c r="B20" s="23"/>
      <c r="C20" s="23"/>
      <c r="D20" s="23"/>
      <c r="E20" s="23"/>
      <c r="F20" s="24">
        <f t="shared" ref="F20:T20" si="7">AVERAGE(F10:F19)</f>
        <v>73.55</v>
      </c>
      <c r="G20" s="25">
        <f t="shared" si="7"/>
        <v>0.29200000000000004</v>
      </c>
      <c r="H20" s="26">
        <f t="shared" si="7"/>
        <v>0.1</v>
      </c>
      <c r="I20" s="27">
        <f t="shared" si="7"/>
        <v>0.50409999999999999</v>
      </c>
      <c r="J20" s="27">
        <f t="shared" si="7"/>
        <v>0.27450000000000002</v>
      </c>
      <c r="K20" s="27">
        <f t="shared" si="7"/>
        <v>0.22139999999999999</v>
      </c>
      <c r="L20" s="28">
        <f t="shared" si="7"/>
        <v>2.2119999999999997</v>
      </c>
      <c r="M20" s="28">
        <f t="shared" si="7"/>
        <v>3.5450000000000004</v>
      </c>
      <c r="N20" s="28">
        <f t="shared" si="7"/>
        <v>3.875</v>
      </c>
      <c r="O20" s="27">
        <f t="shared" si="7"/>
        <v>0.45437278551783156</v>
      </c>
      <c r="P20" s="27">
        <f t="shared" si="7"/>
        <v>0.27557619929582372</v>
      </c>
      <c r="Q20" s="27">
        <f t="shared" si="7"/>
        <v>0.27005101518634456</v>
      </c>
      <c r="R20" s="29">
        <f t="shared" si="7"/>
        <v>6.6620000000000013E-2</v>
      </c>
      <c r="S20" s="29">
        <f t="shared" si="7"/>
        <v>-4.7700000000000006E-2</v>
      </c>
      <c r="T20" s="29">
        <f t="shared" si="7"/>
        <v>-0.22225499999999995</v>
      </c>
      <c r="U20" s="30" t="str">
        <f>COUNTIF(U10:U19, "VALUE TARGET (HOME)") &amp; " Selekcje"</f>
        <v>8 Selekcje</v>
      </c>
    </row>
    <row r="22" spans="1:21" ht="22.05" customHeight="1" x14ac:dyDescent="0.3">
      <c r="A22" s="76" t="s">
        <v>75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</row>
    <row r="23" spans="1:21" ht="24" customHeight="1" x14ac:dyDescent="0.3">
      <c r="A23" s="67" t="s">
        <v>76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4"/>
    </row>
    <row r="24" spans="1:21" ht="24" customHeight="1" x14ac:dyDescent="0.3">
      <c r="A24" s="72" t="s">
        <v>77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4"/>
    </row>
    <row r="25" spans="1:21" ht="24" customHeight="1" x14ac:dyDescent="0.3">
      <c r="A25" s="67" t="s">
        <v>78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4"/>
    </row>
    <row r="26" spans="1:21" ht="24" customHeight="1" x14ac:dyDescent="0.3">
      <c r="A26" s="72" t="s">
        <v>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4"/>
    </row>
  </sheetData>
  <mergeCells count="26">
    <mergeCell ref="A1:U1"/>
    <mergeCell ref="J4:L4"/>
    <mergeCell ref="A26:U26"/>
    <mergeCell ref="A2:U2"/>
    <mergeCell ref="I8:K8"/>
    <mergeCell ref="O8:Q8"/>
    <mergeCell ref="A23:U23"/>
    <mergeCell ref="B6:D6"/>
    <mergeCell ref="N6:P6"/>
    <mergeCell ref="A22:U22"/>
    <mergeCell ref="B5:D5"/>
    <mergeCell ref="B4:D4"/>
    <mergeCell ref="F4:H4"/>
    <mergeCell ref="A8:E8"/>
    <mergeCell ref="N4:P4"/>
    <mergeCell ref="R8:T8"/>
    <mergeCell ref="J5:L5"/>
    <mergeCell ref="J6:L6"/>
    <mergeCell ref="F5:H5"/>
    <mergeCell ref="U8"/>
    <mergeCell ref="A25:U25"/>
    <mergeCell ref="N5:P5"/>
    <mergeCell ref="F8:H8"/>
    <mergeCell ref="L8:N8"/>
    <mergeCell ref="F6:H6"/>
    <mergeCell ref="A24:U24"/>
  </mergeCells>
  <conditionalFormatting sqref="R10:T19">
    <cfRule type="cellIs" dxfId="3" priority="1" stopIfTrue="1" operator="greaterThanOrEqual">
      <formula>0.05</formula>
    </cfRule>
    <cfRule type="cellIs" dxfId="2" priority="2" stopIfTrue="1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tabSelected="1" workbookViewId="0">
      <pane xSplit="4" ySplit="12" topLeftCell="E13" activePane="bottomRight" state="frozen"/>
      <selection pane="topRight"/>
      <selection pane="bottomLeft"/>
      <selection pane="bottomRight" activeCell="F5" sqref="F5:G6"/>
    </sheetView>
  </sheetViews>
  <sheetFormatPr defaultRowHeight="14.4" x14ac:dyDescent="0.3"/>
  <cols>
    <col min="1" max="1" width="13" customWidth="1"/>
    <col min="2" max="2" width="26" customWidth="1"/>
    <col min="3" max="3" width="16" customWidth="1"/>
    <col min="4" max="4" width="12" customWidth="1"/>
    <col min="5" max="5" width="11" customWidth="1"/>
    <col min="6" max="6" width="13" customWidth="1"/>
    <col min="7" max="7" width="12" customWidth="1"/>
    <col min="8" max="9" width="13" customWidth="1"/>
    <col min="10" max="10" width="15" customWidth="1"/>
    <col min="11" max="11" width="16" customWidth="1"/>
    <col min="12" max="12" width="15" customWidth="1"/>
    <col min="13" max="13" width="16" customWidth="1"/>
    <col min="14" max="14" width="22" customWidth="1"/>
  </cols>
  <sheetData>
    <row r="1" spans="1:14" ht="28.05" customHeight="1" x14ac:dyDescent="0.3">
      <c r="A1" s="77" t="s">
        <v>80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18" customHeight="1" x14ac:dyDescent="0.3">
      <c r="A2" s="73" t="s">
        <v>81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4" spans="1:14" ht="19.95" customHeight="1" x14ac:dyDescent="0.3">
      <c r="A4" s="83" t="s">
        <v>82</v>
      </c>
      <c r="B4" s="74"/>
      <c r="C4" s="74"/>
      <c r="D4" s="74"/>
      <c r="F4" s="71" t="s">
        <v>83</v>
      </c>
      <c r="G4" s="64"/>
      <c r="H4" s="71" t="s">
        <v>84</v>
      </c>
      <c r="I4" s="64"/>
      <c r="J4" s="71" t="s">
        <v>85</v>
      </c>
      <c r="K4" s="64"/>
      <c r="L4" s="71" t="s">
        <v>86</v>
      </c>
      <c r="M4" s="63"/>
      <c r="N4" s="64"/>
    </row>
    <row r="5" spans="1:14" ht="19.95" customHeight="1" x14ac:dyDescent="0.3">
      <c r="A5" s="91" t="s">
        <v>87</v>
      </c>
      <c r="B5" s="64"/>
      <c r="C5" s="84">
        <v>10000</v>
      </c>
      <c r="D5" s="80"/>
      <c r="F5" s="108">
        <f>K23</f>
        <v>1542.562331224133</v>
      </c>
      <c r="G5" s="85"/>
      <c r="H5" s="98">
        <f>M23</f>
        <v>114.40822851310548</v>
      </c>
      <c r="I5" s="85"/>
      <c r="J5" s="100">
        <f>IF(K23&gt;0, M23/K23, 0)</f>
        <v>7.4167653518619509E-2</v>
      </c>
      <c r="K5" s="85"/>
      <c r="L5" s="104" t="str">
        <f>"8 / 10 POZYCJI"</f>
        <v>8 / 10 POZYCJI</v>
      </c>
      <c r="M5" s="92"/>
      <c r="N5" s="85"/>
    </row>
    <row r="6" spans="1:14" ht="19.95" customHeight="1" x14ac:dyDescent="0.3">
      <c r="A6" s="91" t="s">
        <v>88</v>
      </c>
      <c r="B6" s="64"/>
      <c r="C6" s="79">
        <v>0.25</v>
      </c>
      <c r="D6" s="80"/>
      <c r="F6" s="86"/>
      <c r="G6" s="87"/>
      <c r="H6" s="86"/>
      <c r="I6" s="87"/>
      <c r="J6" s="86"/>
      <c r="K6" s="87"/>
      <c r="L6" s="86"/>
      <c r="M6" s="93"/>
      <c r="N6" s="87"/>
    </row>
    <row r="7" spans="1:14" ht="19.95" customHeight="1" x14ac:dyDescent="0.3">
      <c r="A7" s="91" t="s">
        <v>89</v>
      </c>
      <c r="B7" s="64"/>
      <c r="C7" s="106">
        <v>0.05</v>
      </c>
      <c r="D7" s="80"/>
      <c r="F7" s="71" t="e">
        <f>"Ekspozycja: " &amp; TEXT($J$23, "0.0%") &amp; " kapitału"</f>
        <v>#VALUE!</v>
      </c>
      <c r="G7" s="85"/>
      <c r="H7" s="71" t="s">
        <v>90</v>
      </c>
      <c r="I7" s="85"/>
      <c r="J7" s="71" t="s">
        <v>91</v>
      </c>
      <c r="K7" s="85"/>
      <c r="L7" s="71" t="s">
        <v>92</v>
      </c>
      <c r="M7" s="92"/>
      <c r="N7" s="85"/>
    </row>
    <row r="8" spans="1:14" ht="19.95" customHeight="1" x14ac:dyDescent="0.3">
      <c r="A8" s="91" t="s">
        <v>93</v>
      </c>
      <c r="B8" s="64"/>
      <c r="C8" s="106">
        <v>3.5000000000000003E-2</v>
      </c>
      <c r="D8" s="80"/>
      <c r="F8" s="86"/>
      <c r="G8" s="87"/>
      <c r="H8" s="86"/>
      <c r="I8" s="87"/>
      <c r="J8" s="86"/>
      <c r="K8" s="87"/>
      <c r="L8" s="86"/>
      <c r="M8" s="93"/>
      <c r="N8" s="87"/>
    </row>
    <row r="9" spans="1:14" ht="19.95" customHeight="1" x14ac:dyDescent="0.3">
      <c r="A9" s="91" t="s">
        <v>94</v>
      </c>
      <c r="B9" s="64"/>
      <c r="C9" s="99" t="s">
        <v>95</v>
      </c>
      <c r="D9" s="80"/>
      <c r="F9" s="62" t="s">
        <v>96</v>
      </c>
      <c r="G9" s="64"/>
      <c r="H9" s="62" t="s">
        <v>97</v>
      </c>
      <c r="I9" s="64"/>
      <c r="J9" s="62" t="s">
        <v>98</v>
      </c>
      <c r="K9" s="64"/>
      <c r="L9" s="62" t="str">
        <f>"Odrzucono: 2 mecze (brak edge)"</f>
        <v>Odrzucono: 2 mecze (brak edge)</v>
      </c>
      <c r="M9" s="63"/>
      <c r="N9" s="64"/>
    </row>
    <row r="11" spans="1:14" ht="22.05" customHeight="1" x14ac:dyDescent="0.3">
      <c r="A11" s="76" t="s">
        <v>99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</row>
    <row r="12" spans="1:14" ht="24" customHeight="1" x14ac:dyDescent="0.3">
      <c r="A12" s="1" t="s">
        <v>21</v>
      </c>
      <c r="B12" s="2" t="s">
        <v>100</v>
      </c>
      <c r="C12" s="1" t="s">
        <v>101</v>
      </c>
      <c r="D12" s="3" t="s">
        <v>102</v>
      </c>
      <c r="E12" s="3" t="s">
        <v>103</v>
      </c>
      <c r="F12" s="3" t="s">
        <v>104</v>
      </c>
      <c r="G12" s="3" t="s">
        <v>105</v>
      </c>
      <c r="H12" s="3" t="s">
        <v>106</v>
      </c>
      <c r="I12" s="3" t="s">
        <v>107</v>
      </c>
      <c r="J12" s="3" t="s">
        <v>108</v>
      </c>
      <c r="K12" s="3" t="s">
        <v>109</v>
      </c>
      <c r="L12" s="3" t="s">
        <v>110</v>
      </c>
      <c r="M12" s="3" t="s">
        <v>111</v>
      </c>
      <c r="N12" s="1" t="s">
        <v>112</v>
      </c>
    </row>
    <row r="13" spans="1:14" ht="19.95" customHeight="1" x14ac:dyDescent="0.3">
      <c r="A13" s="4" t="str">
        <f>Game_Predictions_Gameweek!A10</f>
        <v>GW38-01</v>
      </c>
      <c r="B13" s="31" t="str">
        <f>Game_Predictions_Gameweek!C10 &amp; " vs " &amp; Game_Predictions_Gameweek!D10</f>
        <v>Real Madrid vs Real Betis</v>
      </c>
      <c r="C13" s="4" t="s">
        <v>113</v>
      </c>
      <c r="D13" s="10">
        <f>Game_Predictions_Gameweek!L10</f>
        <v>1.48</v>
      </c>
      <c r="E13" s="9">
        <f>Game_Predictions_Gameweek!I10</f>
        <v>0.72499999999999998</v>
      </c>
      <c r="F13" s="9">
        <f>Game_Predictions_Gameweek!O10</f>
        <v>0.64960956969596273</v>
      </c>
      <c r="G13" s="11">
        <f t="shared" ref="G13:G22" si="0">E13-F13</f>
        <v>7.5390430304037248E-2</v>
      </c>
      <c r="H13" s="11">
        <f>Game_Predictions_Gameweek!R10</f>
        <v>7.2999999999999954E-2</v>
      </c>
      <c r="I13" s="9">
        <f t="shared" ref="I13:I22" si="1">IF(H13&gt;0, H13/(D13-1), 0)</f>
        <v>0.15208333333333324</v>
      </c>
      <c r="J13" s="32">
        <f t="shared" ref="J13:J22" si="2">IF(H13&gt;=$C$7, MIN($C$8, I13*$C$6), 0)</f>
        <v>3.5000000000000003E-2</v>
      </c>
      <c r="K13" s="33">
        <f t="shared" ref="K13:K22" si="3">J13*$C$5</f>
        <v>350.00000000000006</v>
      </c>
      <c r="L13" s="34">
        <f t="shared" ref="L13:L22" si="4">IF(H13&gt;=$C$7, 100, 0)</f>
        <v>100</v>
      </c>
      <c r="M13" s="35">
        <f t="shared" ref="M13:M22" si="5">K13*H13</f>
        <v>25.549999999999986</v>
      </c>
      <c r="N13" s="12" t="str">
        <f t="shared" ref="N13:N22" si="6">IF(J13&gt;0, "AKTYWNA (VALUE)", "POMIŃ (BRAK PRZEWAGI)")</f>
        <v>AKTYWNA (VALUE)</v>
      </c>
    </row>
    <row r="14" spans="1:14" ht="19.95" customHeight="1" x14ac:dyDescent="0.3">
      <c r="A14" s="13" t="str">
        <f>Game_Predictions_Gameweek!A11</f>
        <v>GW38-02</v>
      </c>
      <c r="B14" s="36" t="str">
        <f>Game_Predictions_Gameweek!C11 &amp; " vs " &amp; Game_Predictions_Gameweek!D11</f>
        <v>Barcelona vs Athletic Bilbao</v>
      </c>
      <c r="C14" s="13" t="s">
        <v>113</v>
      </c>
      <c r="D14" s="19">
        <f>Game_Predictions_Gameweek!L11</f>
        <v>1.62</v>
      </c>
      <c r="E14" s="18">
        <f>Game_Predictions_Gameweek!I11</f>
        <v>0.65200000000000002</v>
      </c>
      <c r="F14" s="18">
        <f>Game_Predictions_Gameweek!O11</f>
        <v>0.59514608131086721</v>
      </c>
      <c r="G14" s="20">
        <f t="shared" si="0"/>
        <v>5.685391868913281E-2</v>
      </c>
      <c r="H14" s="20">
        <f>Game_Predictions_Gameweek!R11</f>
        <v>5.6240000000000068E-2</v>
      </c>
      <c r="I14" s="18">
        <f t="shared" si="1"/>
        <v>9.0709677419354928E-2</v>
      </c>
      <c r="J14" s="37">
        <f t="shared" si="2"/>
        <v>2.2677419354838732E-2</v>
      </c>
      <c r="K14" s="38">
        <f t="shared" si="3"/>
        <v>226.77419354838733</v>
      </c>
      <c r="L14" s="39">
        <f t="shared" si="4"/>
        <v>100</v>
      </c>
      <c r="M14" s="40">
        <f t="shared" si="5"/>
        <v>12.753780645161319</v>
      </c>
      <c r="N14" s="21" t="str">
        <f t="shared" si="6"/>
        <v>AKTYWNA (VALUE)</v>
      </c>
    </row>
    <row r="15" spans="1:14" ht="19.95" customHeight="1" x14ac:dyDescent="0.3">
      <c r="A15" s="4" t="str">
        <f>Game_Predictions_Gameweek!A12</f>
        <v>GW38-03</v>
      </c>
      <c r="B15" s="31" t="str">
        <f>Game_Predictions_Gameweek!C12 &amp; " vs " &amp; Game_Predictions_Gameweek!D12</f>
        <v>Atletico Madrid vs Real Sociedad</v>
      </c>
      <c r="C15" s="4" t="s">
        <v>113</v>
      </c>
      <c r="D15" s="10">
        <f>Game_Predictions_Gameweek!L12</f>
        <v>1.85</v>
      </c>
      <c r="E15" s="9">
        <f>Game_Predictions_Gameweek!I12</f>
        <v>0.58399999999999996</v>
      </c>
      <c r="F15" s="9">
        <f>Game_Predictions_Gameweek!O12</f>
        <v>0.51885954284791214</v>
      </c>
      <c r="G15" s="11">
        <f t="shared" si="0"/>
        <v>6.5140457152087827E-2</v>
      </c>
      <c r="H15" s="11">
        <f>Game_Predictions_Gameweek!R12</f>
        <v>8.0400000000000027E-2</v>
      </c>
      <c r="I15" s="9">
        <f t="shared" si="1"/>
        <v>9.4588235294117667E-2</v>
      </c>
      <c r="J15" s="32">
        <f t="shared" si="2"/>
        <v>2.3647058823529417E-2</v>
      </c>
      <c r="K15" s="33">
        <f t="shared" si="3"/>
        <v>236.47058823529417</v>
      </c>
      <c r="L15" s="34">
        <f t="shared" si="4"/>
        <v>100</v>
      </c>
      <c r="M15" s="35">
        <f t="shared" si="5"/>
        <v>19.012235294117659</v>
      </c>
      <c r="N15" s="12" t="str">
        <f t="shared" si="6"/>
        <v>AKTYWNA (VALUE)</v>
      </c>
    </row>
    <row r="16" spans="1:14" ht="19.95" customHeight="1" x14ac:dyDescent="0.3">
      <c r="A16" s="13" t="str">
        <f>Game_Predictions_Gameweek!A13</f>
        <v>GW38-04</v>
      </c>
      <c r="B16" s="36" t="str">
        <f>Game_Predictions_Gameweek!C13 &amp; " vs " &amp; Game_Predictions_Gameweek!D13</f>
        <v>Villarreal vs Sevilla</v>
      </c>
      <c r="C16" s="13" t="s">
        <v>113</v>
      </c>
      <c r="D16" s="19">
        <f>Game_Predictions_Gameweek!L13</f>
        <v>2.12</v>
      </c>
      <c r="E16" s="18">
        <f>Game_Predictions_Gameweek!I13</f>
        <v>0.51800000000000002</v>
      </c>
      <c r="F16" s="18">
        <f>Game_Predictions_Gameweek!O13</f>
        <v>0.45219638242894056</v>
      </c>
      <c r="G16" s="20">
        <f t="shared" si="0"/>
        <v>6.5803617571059458E-2</v>
      </c>
      <c r="H16" s="20">
        <f>Game_Predictions_Gameweek!R13</f>
        <v>9.8160000000000025E-2</v>
      </c>
      <c r="I16" s="18">
        <f t="shared" si="1"/>
        <v>8.7642857142857161E-2</v>
      </c>
      <c r="J16" s="37">
        <f t="shared" si="2"/>
        <v>2.191071428571429E-2</v>
      </c>
      <c r="K16" s="38">
        <f t="shared" si="3"/>
        <v>219.10714285714289</v>
      </c>
      <c r="L16" s="39">
        <f t="shared" si="4"/>
        <v>100</v>
      </c>
      <c r="M16" s="40">
        <f t="shared" si="5"/>
        <v>21.507557142857152</v>
      </c>
      <c r="N16" s="21" t="str">
        <f t="shared" si="6"/>
        <v>AKTYWNA (VALUE)</v>
      </c>
    </row>
    <row r="17" spans="1:14" ht="19.95" customHeight="1" x14ac:dyDescent="0.3">
      <c r="A17" s="4" t="str">
        <f>Game_Predictions_Gameweek!A14</f>
        <v>GW38-05</v>
      </c>
      <c r="B17" s="31" t="str">
        <f>Game_Predictions_Gameweek!C14 &amp; " vs " &amp; Game_Predictions_Gameweek!D14</f>
        <v>Valencia vs Getafe</v>
      </c>
      <c r="C17" s="4" t="s">
        <v>113</v>
      </c>
      <c r="D17" s="10">
        <f>Game_Predictions_Gameweek!L14</f>
        <v>2.2999999999999998</v>
      </c>
      <c r="E17" s="9">
        <f>Game_Predictions_Gameweek!I14</f>
        <v>0.46500000000000002</v>
      </c>
      <c r="F17" s="9">
        <f>Game_Predictions_Gameweek!O14</f>
        <v>0.41749808135072913</v>
      </c>
      <c r="G17" s="11">
        <f t="shared" si="0"/>
        <v>4.7501918649270891E-2</v>
      </c>
      <c r="H17" s="11">
        <f>Game_Predictions_Gameweek!R14</f>
        <v>6.9499999999999895E-2</v>
      </c>
      <c r="I17" s="9">
        <f t="shared" si="1"/>
        <v>5.3461538461538387E-2</v>
      </c>
      <c r="J17" s="32">
        <f t="shared" si="2"/>
        <v>1.3365384615384597E-2</v>
      </c>
      <c r="K17" s="33">
        <f t="shared" si="3"/>
        <v>133.65384615384596</v>
      </c>
      <c r="L17" s="34">
        <f t="shared" si="4"/>
        <v>100</v>
      </c>
      <c r="M17" s="35">
        <f t="shared" si="5"/>
        <v>9.288942307692281</v>
      </c>
      <c r="N17" s="12" t="str">
        <f t="shared" si="6"/>
        <v>AKTYWNA (VALUE)</v>
      </c>
    </row>
    <row r="18" spans="1:14" ht="19.95" customHeight="1" x14ac:dyDescent="0.3">
      <c r="A18" s="13" t="str">
        <f>Game_Predictions_Gameweek!A15</f>
        <v>GW38-06</v>
      </c>
      <c r="B18" s="36" t="str">
        <f>Game_Predictions_Gameweek!C15 &amp; " vs " &amp; Game_Predictions_Gameweek!D15</f>
        <v>Celta Vigo vs Osasuna</v>
      </c>
      <c r="C18" s="13" t="s">
        <v>113</v>
      </c>
      <c r="D18" s="19">
        <f>Game_Predictions_Gameweek!L15</f>
        <v>2.4500000000000002</v>
      </c>
      <c r="E18" s="18">
        <f>Game_Predictions_Gameweek!I15</f>
        <v>0.442</v>
      </c>
      <c r="F18" s="18">
        <f>Game_Predictions_Gameweek!O15</f>
        <v>0.39305569101726323</v>
      </c>
      <c r="G18" s="20">
        <f t="shared" si="0"/>
        <v>4.8944308982736773E-2</v>
      </c>
      <c r="H18" s="20">
        <f>Game_Predictions_Gameweek!R15</f>
        <v>8.2900000000000196E-2</v>
      </c>
      <c r="I18" s="18">
        <f t="shared" si="1"/>
        <v>5.7172413793103574E-2</v>
      </c>
      <c r="J18" s="37">
        <f t="shared" si="2"/>
        <v>1.4293103448275894E-2</v>
      </c>
      <c r="K18" s="38">
        <f t="shared" si="3"/>
        <v>142.93103448275895</v>
      </c>
      <c r="L18" s="39">
        <f t="shared" si="4"/>
        <v>100</v>
      </c>
      <c r="M18" s="40">
        <f t="shared" si="5"/>
        <v>11.848982758620744</v>
      </c>
      <c r="N18" s="21" t="str">
        <f t="shared" si="6"/>
        <v>AKTYWNA (VALUE)</v>
      </c>
    </row>
    <row r="19" spans="1:14" ht="19.95" customHeight="1" x14ac:dyDescent="0.3">
      <c r="A19" s="4" t="str">
        <f>Game_Predictions_Gameweek!A16</f>
        <v>GW38-07</v>
      </c>
      <c r="B19" s="31" t="str">
        <f>Game_Predictions_Gameweek!C16 &amp; " vs " &amp; Game_Predictions_Gameweek!D16</f>
        <v>Girona vs Mallorca</v>
      </c>
      <c r="C19" s="4" t="s">
        <v>113</v>
      </c>
      <c r="D19" s="10">
        <f>Game_Predictions_Gameweek!L16</f>
        <v>2.15</v>
      </c>
      <c r="E19" s="9">
        <f>Game_Predictions_Gameweek!I16</f>
        <v>0.495</v>
      </c>
      <c r="F19" s="9">
        <f>Game_Predictions_Gameweek!O16</f>
        <v>0.44851593990472693</v>
      </c>
      <c r="G19" s="11">
        <f t="shared" si="0"/>
        <v>4.6484060095273061E-2</v>
      </c>
      <c r="H19" s="11">
        <f>Game_Predictions_Gameweek!R16</f>
        <v>6.4249999999999918E-2</v>
      </c>
      <c r="I19" s="9">
        <f t="shared" si="1"/>
        <v>5.586956521739124E-2</v>
      </c>
      <c r="J19" s="32">
        <f t="shared" si="2"/>
        <v>1.396739130434781E-2</v>
      </c>
      <c r="K19" s="33">
        <f t="shared" si="3"/>
        <v>139.67391304347811</v>
      </c>
      <c r="L19" s="34">
        <f t="shared" si="4"/>
        <v>100</v>
      </c>
      <c r="M19" s="35">
        <f t="shared" si="5"/>
        <v>8.9740489130434575</v>
      </c>
      <c r="N19" s="12" t="str">
        <f t="shared" si="6"/>
        <v>AKTYWNA (VALUE)</v>
      </c>
    </row>
    <row r="20" spans="1:14" ht="19.95" customHeight="1" x14ac:dyDescent="0.3">
      <c r="A20" s="13" t="str">
        <f>Game_Predictions_Gameweek!A17</f>
        <v>GW38-08</v>
      </c>
      <c r="B20" s="36" t="str">
        <f>Game_Predictions_Gameweek!C17 &amp; " vs " &amp; Game_Predictions_Gameweek!D17</f>
        <v>Rayo Vallecano vs Alaves</v>
      </c>
      <c r="C20" s="13" t="s">
        <v>113</v>
      </c>
      <c r="D20" s="19">
        <f>Game_Predictions_Gameweek!L17</f>
        <v>2.5499999999999998</v>
      </c>
      <c r="E20" s="18">
        <f>Game_Predictions_Gameweek!I17</f>
        <v>0.41499999999999998</v>
      </c>
      <c r="F20" s="18">
        <f>Game_Predictions_Gameweek!O17</f>
        <v>0.37780401416765053</v>
      </c>
      <c r="G20" s="20">
        <f t="shared" si="0"/>
        <v>3.7195985832349454E-2</v>
      </c>
      <c r="H20" s="20">
        <f>Game_Predictions_Gameweek!R17</f>
        <v>5.8249999999999913E-2</v>
      </c>
      <c r="I20" s="18">
        <f t="shared" si="1"/>
        <v>3.7580645161290269E-2</v>
      </c>
      <c r="J20" s="37">
        <f t="shared" si="2"/>
        <v>9.3951612903225672E-3</v>
      </c>
      <c r="K20" s="38">
        <f t="shared" si="3"/>
        <v>93.951612903225666</v>
      </c>
      <c r="L20" s="39">
        <f t="shared" si="4"/>
        <v>100</v>
      </c>
      <c r="M20" s="40">
        <f t="shared" si="5"/>
        <v>5.4726814516128872</v>
      </c>
      <c r="N20" s="21" t="str">
        <f t="shared" si="6"/>
        <v>AKTYWNA (VALUE)</v>
      </c>
    </row>
    <row r="21" spans="1:14" ht="19.95" customHeight="1" x14ac:dyDescent="0.3">
      <c r="A21" s="4" t="str">
        <f>Game_Predictions_Gameweek!A18</f>
        <v>GW38-09</v>
      </c>
      <c r="B21" s="31" t="str">
        <f>Game_Predictions_Gameweek!C18 &amp; " vs " &amp; Game_Predictions_Gameweek!D18</f>
        <v>Espanyol vs Las Palmas</v>
      </c>
      <c r="C21" s="4" t="s">
        <v>113</v>
      </c>
      <c r="D21" s="10">
        <f>Game_Predictions_Gameweek!L18</f>
        <v>2.7</v>
      </c>
      <c r="E21" s="9">
        <f>Game_Predictions_Gameweek!I18</f>
        <v>0.38500000000000001</v>
      </c>
      <c r="F21" s="9">
        <f>Game_Predictions_Gameweek!O18</f>
        <v>0.35777471987418913</v>
      </c>
      <c r="G21" s="11">
        <f t="shared" si="0"/>
        <v>2.722528012581088E-2</v>
      </c>
      <c r="H21" s="11">
        <f>Game_Predictions_Gameweek!R18</f>
        <v>3.9500000000000091E-2</v>
      </c>
      <c r="I21" s="9">
        <f t="shared" si="1"/>
        <v>2.3235294117647111E-2</v>
      </c>
      <c r="J21" s="32">
        <f t="shared" si="2"/>
        <v>0</v>
      </c>
      <c r="K21" s="33">
        <f t="shared" si="3"/>
        <v>0</v>
      </c>
      <c r="L21" s="34">
        <f t="shared" si="4"/>
        <v>0</v>
      </c>
      <c r="M21" s="35">
        <f t="shared" si="5"/>
        <v>0</v>
      </c>
      <c r="N21" s="12" t="str">
        <f t="shared" si="6"/>
        <v>POMIŃ (BRAK PRZEWAGI)</v>
      </c>
    </row>
    <row r="22" spans="1:14" ht="19.95" customHeight="1" x14ac:dyDescent="0.3">
      <c r="A22" s="13" t="str">
        <f>Game_Predictions_Gameweek!A19</f>
        <v>GW38-10</v>
      </c>
      <c r="B22" s="36" t="str">
        <f>Game_Predictions_Gameweek!C19 &amp; " vs " &amp; Game_Predictions_Gameweek!D19</f>
        <v>Real Valladolid vs Leganes</v>
      </c>
      <c r="C22" s="13" t="s">
        <v>113</v>
      </c>
      <c r="D22" s="19">
        <f>Game_Predictions_Gameweek!L19</f>
        <v>2.9</v>
      </c>
      <c r="E22" s="18">
        <f>Game_Predictions_Gameweek!I19</f>
        <v>0.36</v>
      </c>
      <c r="F22" s="18">
        <f>Game_Predictions_Gameweek!O19</f>
        <v>0.33326783258007464</v>
      </c>
      <c r="G22" s="20">
        <f t="shared" si="0"/>
        <v>2.6732167419925346E-2</v>
      </c>
      <c r="H22" s="20">
        <f>Game_Predictions_Gameweek!R19</f>
        <v>4.4000000000000039E-2</v>
      </c>
      <c r="I22" s="18">
        <f t="shared" si="1"/>
        <v>2.3157894736842127E-2</v>
      </c>
      <c r="J22" s="37">
        <f t="shared" si="2"/>
        <v>0</v>
      </c>
      <c r="K22" s="38">
        <f t="shared" si="3"/>
        <v>0</v>
      </c>
      <c r="L22" s="39">
        <f t="shared" si="4"/>
        <v>0</v>
      </c>
      <c r="M22" s="40">
        <f t="shared" si="5"/>
        <v>0</v>
      </c>
      <c r="N22" s="21" t="str">
        <f t="shared" si="6"/>
        <v>POMIŃ (BRAK PRZEWAGI)</v>
      </c>
    </row>
    <row r="23" spans="1:14" ht="22.05" customHeight="1" x14ac:dyDescent="0.3">
      <c r="A23" s="94" t="s">
        <v>114</v>
      </c>
      <c r="B23" s="95"/>
      <c r="C23" s="96"/>
      <c r="D23" s="28">
        <f t="shared" ref="D23:I23" si="7">AVERAGE(D13:D22)</f>
        <v>2.2119999999999997</v>
      </c>
      <c r="E23" s="27">
        <f t="shared" si="7"/>
        <v>0.50409999999999999</v>
      </c>
      <c r="F23" s="27">
        <f t="shared" si="7"/>
        <v>0.45437278551783156</v>
      </c>
      <c r="G23" s="29">
        <f t="shared" si="7"/>
        <v>4.9727214482168373E-2</v>
      </c>
      <c r="H23" s="29">
        <f t="shared" si="7"/>
        <v>6.6620000000000013E-2</v>
      </c>
      <c r="I23" s="27">
        <f t="shared" si="7"/>
        <v>6.7550145467747583E-2</v>
      </c>
      <c r="J23" s="41">
        <f>SUM(J13:J22)</f>
        <v>0.15425623312241332</v>
      </c>
      <c r="K23" s="42">
        <f>SUM(K13:K22)</f>
        <v>1542.562331224133</v>
      </c>
      <c r="L23" s="43">
        <f>SUM(L13:L22)</f>
        <v>800</v>
      </c>
      <c r="M23" s="44">
        <f>SUM(M13:M22)</f>
        <v>114.40822851310548</v>
      </c>
      <c r="N23" s="30" t="str">
        <f>"Aktywne: " &amp; COUNTIF(N13:N22, "AKTYWNA (VALUE)") &amp; " / 10"</f>
        <v>Aktywne: 8 / 10</v>
      </c>
    </row>
    <row r="25" spans="1:14" ht="22.05" customHeight="1" x14ac:dyDescent="0.3">
      <c r="A25" s="76" t="s">
        <v>115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</row>
    <row r="26" spans="1:14" ht="22.05" customHeight="1" x14ac:dyDescent="0.3">
      <c r="A26" s="102" t="s">
        <v>116</v>
      </c>
      <c r="B26" s="70"/>
      <c r="C26" s="90" t="s">
        <v>117</v>
      </c>
      <c r="D26" s="70"/>
      <c r="E26" s="90" t="s">
        <v>118</v>
      </c>
      <c r="F26" s="70"/>
      <c r="G26" s="90" t="s">
        <v>119</v>
      </c>
      <c r="H26" s="70"/>
      <c r="I26" s="102" t="s">
        <v>120</v>
      </c>
      <c r="J26" s="69"/>
      <c r="K26" s="70"/>
      <c r="L26" s="90" t="s">
        <v>121</v>
      </c>
      <c r="M26" s="69"/>
      <c r="N26" s="70"/>
    </row>
    <row r="27" spans="1:14" ht="22.05" customHeight="1" x14ac:dyDescent="0.3">
      <c r="A27" s="101" t="s">
        <v>122</v>
      </c>
      <c r="B27" s="64"/>
      <c r="C27" s="88" t="s">
        <v>123</v>
      </c>
      <c r="D27" s="64"/>
      <c r="E27" s="88" t="s">
        <v>124</v>
      </c>
      <c r="F27" s="64"/>
      <c r="G27" s="88" t="s">
        <v>125</v>
      </c>
      <c r="H27" s="64"/>
      <c r="I27" s="101" t="s">
        <v>126</v>
      </c>
      <c r="J27" s="63"/>
      <c r="K27" s="64"/>
      <c r="L27" s="88" t="s">
        <v>127</v>
      </c>
      <c r="M27" s="63"/>
      <c r="N27" s="64"/>
    </row>
    <row r="28" spans="1:14" ht="22.05" customHeight="1" x14ac:dyDescent="0.3">
      <c r="A28" s="82" t="s">
        <v>128</v>
      </c>
      <c r="B28" s="64"/>
      <c r="C28" s="97" t="s">
        <v>129</v>
      </c>
      <c r="D28" s="64"/>
      <c r="E28" s="97" t="s">
        <v>130</v>
      </c>
      <c r="F28" s="64"/>
      <c r="G28" s="97" t="s">
        <v>131</v>
      </c>
      <c r="H28" s="64"/>
      <c r="I28" s="82" t="s">
        <v>132</v>
      </c>
      <c r="J28" s="63"/>
      <c r="K28" s="64"/>
      <c r="L28" s="97" t="s">
        <v>133</v>
      </c>
      <c r="M28" s="63"/>
      <c r="N28" s="64"/>
    </row>
    <row r="29" spans="1:14" ht="22.05" customHeight="1" x14ac:dyDescent="0.3">
      <c r="A29" s="101" t="s">
        <v>134</v>
      </c>
      <c r="B29" s="64"/>
      <c r="C29" s="88" t="s">
        <v>135</v>
      </c>
      <c r="D29" s="64"/>
      <c r="E29" s="88" t="s">
        <v>136</v>
      </c>
      <c r="F29" s="64"/>
      <c r="G29" s="107" t="s">
        <v>137</v>
      </c>
      <c r="H29" s="64"/>
      <c r="I29" s="101" t="s">
        <v>138</v>
      </c>
      <c r="J29" s="63"/>
      <c r="K29" s="64"/>
      <c r="L29" s="88" t="s">
        <v>139</v>
      </c>
      <c r="M29" s="63"/>
      <c r="N29" s="64"/>
    </row>
    <row r="30" spans="1:14" ht="22.05" customHeight="1" x14ac:dyDescent="0.3">
      <c r="A30" s="78" t="s">
        <v>140</v>
      </c>
      <c r="B30" s="64"/>
      <c r="C30" s="81" t="s">
        <v>141</v>
      </c>
      <c r="D30" s="64"/>
      <c r="E30" s="81" t="s">
        <v>142</v>
      </c>
      <c r="F30" s="64"/>
      <c r="G30" s="103" t="s">
        <v>143</v>
      </c>
      <c r="H30" s="64"/>
      <c r="I30" s="105" t="s">
        <v>144</v>
      </c>
      <c r="J30" s="63"/>
      <c r="K30" s="64"/>
      <c r="L30" s="89" t="s">
        <v>145</v>
      </c>
      <c r="M30" s="63"/>
      <c r="N30" s="64"/>
    </row>
    <row r="32" spans="1:14" ht="22.05" customHeight="1" x14ac:dyDescent="0.3">
      <c r="A32" s="76" t="s">
        <v>146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</row>
    <row r="33" spans="1:14" ht="24" customHeight="1" x14ac:dyDescent="0.3">
      <c r="A33" s="67" t="s">
        <v>147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4"/>
    </row>
    <row r="34" spans="1:14" ht="24" customHeight="1" x14ac:dyDescent="0.3">
      <c r="A34" s="72" t="s">
        <v>148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4"/>
    </row>
    <row r="35" spans="1:14" ht="24" customHeight="1" x14ac:dyDescent="0.3">
      <c r="A35" s="67" t="s">
        <v>149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4"/>
    </row>
    <row r="36" spans="1:14" ht="24" customHeight="1" x14ac:dyDescent="0.3">
      <c r="A36" s="72" t="s">
        <v>150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4"/>
    </row>
  </sheetData>
  <mergeCells count="67">
    <mergeCell ref="F5:G6"/>
    <mergeCell ref="C28:D28"/>
    <mergeCell ref="I26:K26"/>
    <mergeCell ref="A9:B9"/>
    <mergeCell ref="C7:D7"/>
    <mergeCell ref="A29:B29"/>
    <mergeCell ref="A35:N35"/>
    <mergeCell ref="I27:K27"/>
    <mergeCell ref="L28:N28"/>
    <mergeCell ref="A28:B28"/>
    <mergeCell ref="A33:N33"/>
    <mergeCell ref="E26:F26"/>
    <mergeCell ref="A8:B8"/>
    <mergeCell ref="I30:K30"/>
    <mergeCell ref="G26:H26"/>
    <mergeCell ref="F9:G9"/>
    <mergeCell ref="C8:D8"/>
    <mergeCell ref="A32:N32"/>
    <mergeCell ref="G29:H29"/>
    <mergeCell ref="A36:N36"/>
    <mergeCell ref="L7:N8"/>
    <mergeCell ref="C29:D29"/>
    <mergeCell ref="A7:B7"/>
    <mergeCell ref="E29:F29"/>
    <mergeCell ref="A23:C23"/>
    <mergeCell ref="L9:N9"/>
    <mergeCell ref="A25:N25"/>
    <mergeCell ref="E28:F28"/>
    <mergeCell ref="G28:H28"/>
    <mergeCell ref="C9:D9"/>
    <mergeCell ref="A27:B27"/>
    <mergeCell ref="I29:K29"/>
    <mergeCell ref="A26:B26"/>
    <mergeCell ref="E30:F30"/>
    <mergeCell ref="G30:H30"/>
    <mergeCell ref="L26:N26"/>
    <mergeCell ref="A6:B6"/>
    <mergeCell ref="H9:I9"/>
    <mergeCell ref="L29:N29"/>
    <mergeCell ref="A1:N1"/>
    <mergeCell ref="J9:K9"/>
    <mergeCell ref="H5:I6"/>
    <mergeCell ref="J5:K6"/>
    <mergeCell ref="J4:K4"/>
    <mergeCell ref="A2:N2"/>
    <mergeCell ref="C27:D27"/>
    <mergeCell ref="A5:B5"/>
    <mergeCell ref="F7:G8"/>
    <mergeCell ref="L5:N6"/>
    <mergeCell ref="E27:F27"/>
    <mergeCell ref="L27:N27"/>
    <mergeCell ref="F4:G4"/>
    <mergeCell ref="A30:B30"/>
    <mergeCell ref="C6:D6"/>
    <mergeCell ref="C30:D30"/>
    <mergeCell ref="A34:N34"/>
    <mergeCell ref="I28:K28"/>
    <mergeCell ref="A4:D4"/>
    <mergeCell ref="C5:D5"/>
    <mergeCell ref="H7:I8"/>
    <mergeCell ref="G27:H27"/>
    <mergeCell ref="J7:K8"/>
    <mergeCell ref="L30:N30"/>
    <mergeCell ref="A11:N11"/>
    <mergeCell ref="H4:I4"/>
    <mergeCell ref="L4:N4"/>
    <mergeCell ref="C26:D26"/>
  </mergeCells>
  <conditionalFormatting sqref="H13:H22">
    <cfRule type="cellIs" dxfId="1" priority="1" stopIfTrue="1" operator="greaterThan">
      <formula>0</formula>
    </cfRule>
  </conditionalFormatting>
  <conditionalFormatting sqref="M13:M22">
    <cfRule type="cellIs" dxfId="0" priority="2" stopIfTrue="1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pane ySplit="7" topLeftCell="A8" activePane="bottomLeft" state="frozen"/>
      <selection pane="bottomLeft" sqref="A1:M1"/>
    </sheetView>
  </sheetViews>
  <sheetFormatPr defaultRowHeight="14.4" x14ac:dyDescent="0.3"/>
  <cols>
    <col min="1" max="1" width="18" customWidth="1"/>
    <col min="2" max="2" width="10" customWidth="1"/>
    <col min="3" max="5" width="12" customWidth="1"/>
    <col min="6" max="6" width="14" customWidth="1"/>
    <col min="7" max="7" width="12" customWidth="1"/>
    <col min="8" max="9" width="14" customWidth="1"/>
    <col min="10" max="12" width="12" customWidth="1"/>
    <col min="13" max="13" width="28" customWidth="1"/>
  </cols>
  <sheetData>
    <row r="1" spans="1:13" ht="28.05" customHeight="1" x14ac:dyDescent="0.3">
      <c r="A1" s="77" t="s">
        <v>151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18" customHeight="1" x14ac:dyDescent="0.3">
      <c r="A2" s="73" t="s">
        <v>152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4" spans="1:13" ht="16.05" customHeight="1" x14ac:dyDescent="0.3">
      <c r="A4" s="71" t="s">
        <v>153</v>
      </c>
      <c r="B4" s="113"/>
      <c r="C4" s="113"/>
      <c r="D4" s="71" t="s">
        <v>154</v>
      </c>
      <c r="E4" s="113"/>
      <c r="F4" s="113"/>
      <c r="G4" s="71" t="s">
        <v>155</v>
      </c>
      <c r="H4" s="113"/>
      <c r="I4" s="113"/>
      <c r="J4" s="71" t="s">
        <v>156</v>
      </c>
      <c r="K4" s="113"/>
      <c r="L4" s="113"/>
      <c r="M4" s="113"/>
    </row>
    <row r="5" spans="1:13" ht="24" customHeight="1" x14ac:dyDescent="0.3">
      <c r="A5" s="124" t="s">
        <v>157</v>
      </c>
      <c r="B5" s="113"/>
      <c r="C5" s="113"/>
      <c r="D5" s="124" t="s">
        <v>158</v>
      </c>
      <c r="E5" s="113"/>
      <c r="F5" s="113"/>
      <c r="G5" s="130" t="s">
        <v>159</v>
      </c>
      <c r="H5" s="113"/>
      <c r="I5" s="113"/>
      <c r="J5" s="119" t="s">
        <v>160</v>
      </c>
      <c r="K5" s="113"/>
      <c r="L5" s="113"/>
      <c r="M5" s="113"/>
    </row>
    <row r="6" spans="1:13" ht="16.05" customHeight="1" x14ac:dyDescent="0.3">
      <c r="A6" s="62" t="s">
        <v>161</v>
      </c>
      <c r="B6" s="113"/>
      <c r="C6" s="113"/>
      <c r="D6" s="62" t="s">
        <v>162</v>
      </c>
      <c r="E6" s="113"/>
      <c r="F6" s="113"/>
      <c r="G6" s="62" t="s">
        <v>163</v>
      </c>
      <c r="H6" s="113"/>
      <c r="I6" s="113"/>
      <c r="J6" s="62" t="s">
        <v>164</v>
      </c>
      <c r="K6" s="113"/>
      <c r="L6" s="113"/>
      <c r="M6" s="113"/>
    </row>
    <row r="8" spans="1:13" ht="22.05" customHeight="1" x14ac:dyDescent="0.3">
      <c r="A8" s="76" t="s">
        <v>165</v>
      </c>
      <c r="B8" s="74"/>
      <c r="C8" s="74"/>
      <c r="D8" s="74"/>
      <c r="E8" s="74"/>
      <c r="F8" s="74"/>
      <c r="H8" s="76" t="s">
        <v>166</v>
      </c>
      <c r="I8" s="74"/>
      <c r="J8" s="74"/>
      <c r="K8" s="74"/>
      <c r="L8" s="74"/>
      <c r="M8" s="74"/>
    </row>
    <row r="9" spans="1:13" x14ac:dyDescent="0.3">
      <c r="A9" s="1" t="s">
        <v>167</v>
      </c>
      <c r="B9" s="1" t="s">
        <v>168</v>
      </c>
      <c r="C9" s="127" t="s">
        <v>169</v>
      </c>
      <c r="D9" s="128"/>
      <c r="E9" s="128"/>
      <c r="F9" s="1" t="s">
        <v>170</v>
      </c>
      <c r="H9" s="102" t="s">
        <v>171</v>
      </c>
      <c r="I9" s="115"/>
      <c r="J9" s="102" t="s">
        <v>172</v>
      </c>
      <c r="K9" s="102" t="s">
        <v>173</v>
      </c>
      <c r="L9" s="102" t="s">
        <v>174</v>
      </c>
      <c r="M9" s="90" t="s">
        <v>175</v>
      </c>
    </row>
    <row r="10" spans="1:13" ht="19.95" customHeight="1" x14ac:dyDescent="0.3">
      <c r="A10" s="45"/>
      <c r="B10" s="45"/>
      <c r="C10" s="1" t="s">
        <v>113</v>
      </c>
      <c r="D10" s="1" t="s">
        <v>176</v>
      </c>
      <c r="E10" s="1" t="s">
        <v>177</v>
      </c>
      <c r="F10" s="1" t="s">
        <v>178</v>
      </c>
      <c r="H10" s="46"/>
      <c r="I10" s="47"/>
      <c r="J10" s="112"/>
      <c r="K10" s="112"/>
      <c r="L10" s="112"/>
      <c r="M10" s="112"/>
    </row>
    <row r="11" spans="1:13" ht="19.95" customHeight="1" x14ac:dyDescent="0.3">
      <c r="A11" s="48" t="s">
        <v>179</v>
      </c>
      <c r="B11" s="49" t="s">
        <v>180</v>
      </c>
      <c r="C11" s="50">
        <v>122</v>
      </c>
      <c r="D11" s="4">
        <v>6</v>
      </c>
      <c r="E11" s="4">
        <v>37</v>
      </c>
      <c r="F11" s="12">
        <f>SUM(C11:E11)</f>
        <v>165</v>
      </c>
      <c r="H11" s="101" t="s">
        <v>181</v>
      </c>
      <c r="I11" s="113"/>
      <c r="J11" s="51">
        <v>1.0495000000000001</v>
      </c>
      <c r="K11" s="51">
        <v>0.63219999999999998</v>
      </c>
      <c r="L11" s="52">
        <v>0.48680000000000001</v>
      </c>
      <c r="M11" s="53" t="s">
        <v>182</v>
      </c>
    </row>
    <row r="12" spans="1:13" ht="19.95" customHeight="1" x14ac:dyDescent="0.3">
      <c r="A12" s="48" t="s">
        <v>183</v>
      </c>
      <c r="B12" s="49" t="s">
        <v>184</v>
      </c>
      <c r="C12" s="4">
        <v>50</v>
      </c>
      <c r="D12" s="50">
        <v>14</v>
      </c>
      <c r="E12" s="4">
        <v>32</v>
      </c>
      <c r="F12" s="12">
        <f>SUM(C12:E12)</f>
        <v>96</v>
      </c>
      <c r="H12" s="101" t="s">
        <v>185</v>
      </c>
      <c r="I12" s="113"/>
      <c r="J12" s="51">
        <v>1.0095000000000001</v>
      </c>
      <c r="K12" s="51">
        <v>0.60050000000000003</v>
      </c>
      <c r="L12" s="52">
        <v>0.49209999999999998</v>
      </c>
      <c r="M12" s="53" t="s">
        <v>186</v>
      </c>
    </row>
    <row r="13" spans="1:13" ht="19.95" customHeight="1" x14ac:dyDescent="0.3">
      <c r="A13" s="48" t="s">
        <v>187</v>
      </c>
      <c r="B13" s="49" t="s">
        <v>188</v>
      </c>
      <c r="C13" s="4">
        <v>48</v>
      </c>
      <c r="D13" s="4">
        <v>11</v>
      </c>
      <c r="E13" s="50">
        <v>60</v>
      </c>
      <c r="F13" s="12">
        <f>SUM(C13:E13)</f>
        <v>119</v>
      </c>
      <c r="H13" s="101" t="s">
        <v>189</v>
      </c>
      <c r="I13" s="113"/>
      <c r="J13" s="51">
        <v>0.98380000000000001</v>
      </c>
      <c r="K13" s="51">
        <v>0.58230000000000004</v>
      </c>
      <c r="L13" s="52">
        <v>0.51590000000000003</v>
      </c>
      <c r="M13" s="53" t="s">
        <v>190</v>
      </c>
    </row>
    <row r="14" spans="1:13" ht="19.95" customHeight="1" x14ac:dyDescent="0.3">
      <c r="A14" s="94" t="s">
        <v>191</v>
      </c>
      <c r="B14" s="133"/>
      <c r="C14" s="30">
        <f>SUM(C11:C13)</f>
        <v>220</v>
      </c>
      <c r="D14" s="30">
        <f>SUM(D11:D13)</f>
        <v>31</v>
      </c>
      <c r="E14" s="30">
        <f>SUM(E11:E13)</f>
        <v>129</v>
      </c>
      <c r="F14" s="30">
        <f>SUM(F11:F13)</f>
        <v>380</v>
      </c>
      <c r="H14" s="78" t="s">
        <v>192</v>
      </c>
      <c r="I14" s="126"/>
      <c r="J14" s="54">
        <v>0.98199999999999998</v>
      </c>
      <c r="K14" s="54">
        <v>0.58179999999999998</v>
      </c>
      <c r="L14" s="55">
        <v>0.51580000000000004</v>
      </c>
      <c r="M14" s="56" t="s">
        <v>193</v>
      </c>
    </row>
    <row r="15" spans="1:13" ht="19.95" customHeight="1" x14ac:dyDescent="0.3">
      <c r="A15" s="111" t="s">
        <v>194</v>
      </c>
      <c r="B15" s="111"/>
      <c r="C15" s="57">
        <f>C11/C14</f>
        <v>0.55454545454545456</v>
      </c>
      <c r="D15" s="57">
        <f>D12/D14</f>
        <v>0.45161290322580644</v>
      </c>
      <c r="E15" s="57">
        <f>E13/E14</f>
        <v>0.46511627906976744</v>
      </c>
      <c r="F15" s="57">
        <f>AVERAGE(C15:E15)</f>
        <v>0.49042487894700942</v>
      </c>
      <c r="H15" s="101" t="s">
        <v>195</v>
      </c>
      <c r="I15" s="113"/>
      <c r="J15" s="51">
        <v>0.96560000000000001</v>
      </c>
      <c r="K15" s="51">
        <v>0.57240000000000002</v>
      </c>
      <c r="L15" s="52">
        <v>0.54759999999999998</v>
      </c>
      <c r="M15" s="53" t="s">
        <v>196</v>
      </c>
    </row>
    <row r="16" spans="1:13" ht="19.95" customHeight="1" x14ac:dyDescent="0.3">
      <c r="A16" s="94" t="s">
        <v>197</v>
      </c>
      <c r="B16" s="94"/>
      <c r="C16" s="58">
        <f>C11/F11</f>
        <v>0.73939393939393938</v>
      </c>
      <c r="D16" s="58">
        <f>D12/F12</f>
        <v>0.14583333333333334</v>
      </c>
      <c r="E16" s="58">
        <f>E13/F13</f>
        <v>0.50420168067226889</v>
      </c>
      <c r="F16" s="59">
        <f>(C11+D12+E13)/F14</f>
        <v>0.51578947368421058</v>
      </c>
      <c r="H16" s="94" t="s">
        <v>198</v>
      </c>
      <c r="I16" s="117"/>
      <c r="J16" s="60">
        <f>(J14-J11)/J11</f>
        <v>-6.4316341114816683E-2</v>
      </c>
      <c r="K16" s="60">
        <f>(K14-K11)/K11</f>
        <v>-7.9721607086365082E-2</v>
      </c>
      <c r="L16" s="60">
        <f>L14-L11</f>
        <v>2.9000000000000026E-2</v>
      </c>
      <c r="M16" s="61" t="s">
        <v>199</v>
      </c>
    </row>
    <row r="18" spans="1:13" ht="22.05" customHeight="1" x14ac:dyDescent="0.3">
      <c r="A18" s="76" t="s">
        <v>200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</row>
    <row r="19" spans="1:13" ht="22.05" customHeight="1" x14ac:dyDescent="0.3">
      <c r="A19" s="90" t="s">
        <v>201</v>
      </c>
      <c r="B19" s="74"/>
      <c r="C19" s="90" t="s">
        <v>202</v>
      </c>
      <c r="D19" s="74"/>
      <c r="E19" s="125" t="s">
        <v>203</v>
      </c>
      <c r="F19" s="74"/>
      <c r="G19" s="125" t="s">
        <v>204</v>
      </c>
      <c r="H19" s="74"/>
      <c r="I19" s="125" t="s">
        <v>205</v>
      </c>
      <c r="J19" s="74"/>
      <c r="K19" s="102" t="s">
        <v>206</v>
      </c>
      <c r="L19" s="74"/>
      <c r="M19" s="74"/>
    </row>
    <row r="20" spans="1:13" ht="19.95" customHeight="1" x14ac:dyDescent="0.3">
      <c r="A20" s="122" t="s">
        <v>207</v>
      </c>
      <c r="B20" s="113"/>
      <c r="C20" s="129">
        <v>285</v>
      </c>
      <c r="D20" s="113"/>
      <c r="E20" s="123">
        <v>0.152</v>
      </c>
      <c r="F20" s="113"/>
      <c r="G20" s="123">
        <v>0.14399999999999999</v>
      </c>
      <c r="H20" s="113"/>
      <c r="I20" s="114">
        <f t="shared" ref="I20:I26" si="0">ABS(E20-G20)</f>
        <v>8.0000000000000071E-3</v>
      </c>
      <c r="J20" s="113"/>
      <c r="K20" s="101" t="s">
        <v>208</v>
      </c>
      <c r="L20" s="113"/>
      <c r="M20" s="113"/>
    </row>
    <row r="21" spans="1:13" ht="19.95" customHeight="1" x14ac:dyDescent="0.3">
      <c r="A21" s="131" t="s">
        <v>209</v>
      </c>
      <c r="B21" s="110"/>
      <c r="C21" s="132">
        <v>342</v>
      </c>
      <c r="D21" s="110"/>
      <c r="E21" s="109">
        <v>0.248</v>
      </c>
      <c r="F21" s="110"/>
      <c r="G21" s="109">
        <v>0.254</v>
      </c>
      <c r="H21" s="110"/>
      <c r="I21" s="118">
        <f t="shared" si="0"/>
        <v>6.0000000000000053E-3</v>
      </c>
      <c r="J21" s="110"/>
      <c r="K21" s="82" t="s">
        <v>210</v>
      </c>
      <c r="L21" s="110"/>
      <c r="M21" s="110"/>
    </row>
    <row r="22" spans="1:13" ht="19.95" customHeight="1" x14ac:dyDescent="0.3">
      <c r="A22" s="122" t="s">
        <v>211</v>
      </c>
      <c r="B22" s="113"/>
      <c r="C22" s="129">
        <v>214</v>
      </c>
      <c r="D22" s="113"/>
      <c r="E22" s="123">
        <v>0.34699999999999998</v>
      </c>
      <c r="F22" s="113"/>
      <c r="G22" s="123">
        <v>0.35499999999999998</v>
      </c>
      <c r="H22" s="113"/>
      <c r="I22" s="114">
        <f t="shared" si="0"/>
        <v>8.0000000000000071E-3</v>
      </c>
      <c r="J22" s="113"/>
      <c r="K22" s="101" t="s">
        <v>212</v>
      </c>
      <c r="L22" s="113"/>
      <c r="M22" s="113"/>
    </row>
    <row r="23" spans="1:13" ht="19.95" customHeight="1" x14ac:dyDescent="0.3">
      <c r="A23" s="131" t="s">
        <v>213</v>
      </c>
      <c r="B23" s="110"/>
      <c r="C23" s="132">
        <v>148</v>
      </c>
      <c r="D23" s="110"/>
      <c r="E23" s="109">
        <v>0.44900000000000001</v>
      </c>
      <c r="F23" s="110"/>
      <c r="G23" s="109">
        <v>0.45900000000000002</v>
      </c>
      <c r="H23" s="110"/>
      <c r="I23" s="118">
        <f t="shared" si="0"/>
        <v>1.0000000000000009E-2</v>
      </c>
      <c r="J23" s="110"/>
      <c r="K23" s="82" t="s">
        <v>214</v>
      </c>
      <c r="L23" s="110"/>
      <c r="M23" s="110"/>
    </row>
    <row r="24" spans="1:13" ht="19.95" customHeight="1" x14ac:dyDescent="0.3">
      <c r="A24" s="122" t="s">
        <v>215</v>
      </c>
      <c r="B24" s="113"/>
      <c r="C24" s="129">
        <v>86</v>
      </c>
      <c r="D24" s="113"/>
      <c r="E24" s="123">
        <v>0.54600000000000004</v>
      </c>
      <c r="F24" s="113"/>
      <c r="G24" s="123">
        <v>0.55800000000000005</v>
      </c>
      <c r="H24" s="113"/>
      <c r="I24" s="114">
        <f t="shared" si="0"/>
        <v>1.2000000000000011E-2</v>
      </c>
      <c r="J24" s="113"/>
      <c r="K24" s="101" t="s">
        <v>216</v>
      </c>
      <c r="L24" s="113"/>
      <c r="M24" s="113"/>
    </row>
    <row r="25" spans="1:13" ht="19.95" customHeight="1" x14ac:dyDescent="0.3">
      <c r="A25" s="131" t="s">
        <v>217</v>
      </c>
      <c r="B25" s="110"/>
      <c r="C25" s="132">
        <v>45</v>
      </c>
      <c r="D25" s="110"/>
      <c r="E25" s="109">
        <v>0.64300000000000002</v>
      </c>
      <c r="F25" s="110"/>
      <c r="G25" s="109">
        <v>0.66700000000000004</v>
      </c>
      <c r="H25" s="110"/>
      <c r="I25" s="118">
        <f t="shared" si="0"/>
        <v>2.4000000000000021E-2</v>
      </c>
      <c r="J25" s="110"/>
      <c r="K25" s="82" t="s">
        <v>218</v>
      </c>
      <c r="L25" s="110"/>
      <c r="M25" s="110"/>
    </row>
    <row r="26" spans="1:13" ht="19.95" customHeight="1" x14ac:dyDescent="0.3">
      <c r="A26" s="122" t="s">
        <v>219</v>
      </c>
      <c r="B26" s="113"/>
      <c r="C26" s="129">
        <v>20</v>
      </c>
      <c r="D26" s="113"/>
      <c r="E26" s="123">
        <v>0.748</v>
      </c>
      <c r="F26" s="113"/>
      <c r="G26" s="123">
        <v>0.75</v>
      </c>
      <c r="H26" s="113"/>
      <c r="I26" s="114">
        <f t="shared" si="0"/>
        <v>2.0000000000000018E-3</v>
      </c>
      <c r="J26" s="113"/>
      <c r="K26" s="101" t="s">
        <v>220</v>
      </c>
      <c r="L26" s="113"/>
      <c r="M26" s="113"/>
    </row>
    <row r="27" spans="1:13" ht="22.05" customHeight="1" x14ac:dyDescent="0.3">
      <c r="A27" s="94" t="s">
        <v>221</v>
      </c>
      <c r="B27" s="117"/>
      <c r="C27" s="120">
        <f>SUM(C20:C26)</f>
        <v>1140</v>
      </c>
      <c r="D27" s="117"/>
      <c r="E27" s="121">
        <f>SUMPRODUCT(C20:C26, E20:E26)/C27</f>
        <v>0.31552368421052635</v>
      </c>
      <c r="F27" s="117"/>
      <c r="G27" s="121">
        <f>SUMPRODUCT(C20:C26, G20:G26)/C27</f>
        <v>0.32001140350877194</v>
      </c>
      <c r="H27" s="117"/>
      <c r="I27" s="134">
        <f>SUMPRODUCT(C20:C26, I20:I26)/C27</f>
        <v>8.4877192982456221E-3</v>
      </c>
      <c r="J27" s="117"/>
      <c r="K27" s="116" t="s">
        <v>222</v>
      </c>
      <c r="L27" s="117"/>
      <c r="M27" s="117"/>
    </row>
    <row r="29" spans="1:13" ht="22.05" customHeight="1" x14ac:dyDescent="0.3">
      <c r="A29" s="76" t="s">
        <v>223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</row>
    <row r="30" spans="1:13" ht="18" customHeight="1" x14ac:dyDescent="0.3">
      <c r="A30" s="67" t="s">
        <v>224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</row>
    <row r="31" spans="1:13" ht="18" customHeight="1" x14ac:dyDescent="0.3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</row>
    <row r="32" spans="1:13" ht="18" customHeight="1" x14ac:dyDescent="0.3">
      <c r="A32" s="72" t="s">
        <v>225</v>
      </c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</row>
    <row r="33" spans="1:13" ht="18" customHeight="1" x14ac:dyDescent="0.3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</row>
    <row r="34" spans="1:13" ht="18" customHeight="1" x14ac:dyDescent="0.3">
      <c r="A34" s="67" t="s">
        <v>226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</row>
    <row r="35" spans="1:13" ht="18" customHeight="1" x14ac:dyDescent="0.3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</row>
    <row r="36" spans="1:13" ht="18" customHeight="1" x14ac:dyDescent="0.3">
      <c r="A36" s="72" t="s">
        <v>227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</row>
    <row r="37" spans="1:13" ht="18" customHeight="1" x14ac:dyDescent="0.3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</row>
  </sheetData>
  <mergeCells count="91">
    <mergeCell ref="C25:D25"/>
    <mergeCell ref="D4:F4"/>
    <mergeCell ref="E19:F19"/>
    <mergeCell ref="G19:H19"/>
    <mergeCell ref="I22:J22"/>
    <mergeCell ref="J6:M6"/>
    <mergeCell ref="E21:F21"/>
    <mergeCell ref="A1:M1"/>
    <mergeCell ref="C21:D21"/>
    <mergeCell ref="L9:L10"/>
    <mergeCell ref="H16:I16"/>
    <mergeCell ref="A32:M33"/>
    <mergeCell ref="A14:B14"/>
    <mergeCell ref="I23:J23"/>
    <mergeCell ref="A23:B23"/>
    <mergeCell ref="C23:D23"/>
    <mergeCell ref="K24:M24"/>
    <mergeCell ref="K21:M21"/>
    <mergeCell ref="K26:M26"/>
    <mergeCell ref="D6:F6"/>
    <mergeCell ref="A24:B24"/>
    <mergeCell ref="C24:D24"/>
    <mergeCell ref="A30:M31"/>
    <mergeCell ref="A2:M2"/>
    <mergeCell ref="G6:I6"/>
    <mergeCell ref="K22:M22"/>
    <mergeCell ref="A5:C5"/>
    <mergeCell ref="K23:M23"/>
    <mergeCell ref="G4:I4"/>
    <mergeCell ref="A4:C4"/>
    <mergeCell ref="H11:I11"/>
    <mergeCell ref="D5:F5"/>
    <mergeCell ref="H8:M8"/>
    <mergeCell ref="H12:I12"/>
    <mergeCell ref="I19:J19"/>
    <mergeCell ref="H14:I14"/>
    <mergeCell ref="C9:E9"/>
    <mergeCell ref="C20:D20"/>
    <mergeCell ref="E20:F20"/>
    <mergeCell ref="J4:M4"/>
    <mergeCell ref="H15:I15"/>
    <mergeCell ref="A18:M18"/>
    <mergeCell ref="C19:D19"/>
    <mergeCell ref="E22:F22"/>
    <mergeCell ref="G22:H22"/>
    <mergeCell ref="K20:M20"/>
    <mergeCell ref="G5:I5"/>
    <mergeCell ref="A8:F8"/>
    <mergeCell ref="C22:D22"/>
    <mergeCell ref="I21:J21"/>
    <mergeCell ref="A21:B21"/>
    <mergeCell ref="A16:B16"/>
    <mergeCell ref="K19:M19"/>
    <mergeCell ref="A20:B20"/>
    <mergeCell ref="J5:M5"/>
    <mergeCell ref="C27:D27"/>
    <mergeCell ref="E27:F27"/>
    <mergeCell ref="H13:I13"/>
    <mergeCell ref="A22:B22"/>
    <mergeCell ref="K25:M25"/>
    <mergeCell ref="G20:H20"/>
    <mergeCell ref="I20:J20"/>
    <mergeCell ref="K9:K10"/>
    <mergeCell ref="M9:M10"/>
    <mergeCell ref="A19:B19"/>
    <mergeCell ref="A6:C6"/>
    <mergeCell ref="A26:B26"/>
    <mergeCell ref="G24:H24"/>
    <mergeCell ref="I24:J24"/>
    <mergeCell ref="E26:F26"/>
    <mergeCell ref="A29:M29"/>
    <mergeCell ref="A36:M37"/>
    <mergeCell ref="I26:J26"/>
    <mergeCell ref="H9:I9"/>
    <mergeCell ref="K27:M27"/>
    <mergeCell ref="I25:J25"/>
    <mergeCell ref="A27:B27"/>
    <mergeCell ref="G26:H26"/>
    <mergeCell ref="E25:F25"/>
    <mergeCell ref="G25:H25"/>
    <mergeCell ref="A34:M35"/>
    <mergeCell ref="E24:F24"/>
    <mergeCell ref="G27:H27"/>
    <mergeCell ref="I27:J27"/>
    <mergeCell ref="C26:D26"/>
    <mergeCell ref="A25:B25"/>
    <mergeCell ref="G21:H21"/>
    <mergeCell ref="A15:B15"/>
    <mergeCell ref="J9:J10"/>
    <mergeCell ref="E23:F23"/>
    <mergeCell ref="G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Game_Predictions_Gameweek</vt:lpstr>
      <vt:lpstr>Value_Engine</vt:lpstr>
      <vt:lpstr>Model_KPIs_Monitoring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Woziński</cp:lastModifiedBy>
  <dcterms:created xsi:type="dcterms:W3CDTF">2026-10-04T20:19:20Z</dcterms:created>
  <dcterms:modified xsi:type="dcterms:W3CDTF">2026-10-04T21:48:21Z</dcterms:modified>
</cp:coreProperties>
</file>